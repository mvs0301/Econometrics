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U\2021-2022\Д_Эконометрика\Замена 2021-09-08 (Лекция)\"/>
    </mc:Choice>
  </mc:AlternateContent>
  <xr:revisionPtr revIDLastSave="0" documentId="13_ncr:1_{7F6FC60C-0E96-4C96-8E84-CE29EC4C28B9}" xr6:coauthVersionLast="47" xr6:coauthVersionMax="47" xr10:uidLastSave="{00000000-0000-0000-0000-000000000000}"/>
  <bookViews>
    <workbookView xWindow="2760" yWindow="540" windowWidth="25710" windowHeight="15255" tabRatio="568" xr2:uid="{ABECCC05-EC47-480D-BF90-7296196067FB}"/>
  </bookViews>
  <sheets>
    <sheet name="G_Chow" sheetId="5" r:id="rId1"/>
    <sheet name="CurrExchange" sheetId="4" r:id="rId2"/>
    <sheet name="Компоненты" sheetId="2" r:id="rId3"/>
    <sheet name="Params" sheetId="6" r:id="rId4"/>
  </sheets>
  <definedNames>
    <definedName name="ExternalData_1" localSheetId="1" hidden="1">'CurrExchange'!$A$1:$C$248</definedName>
    <definedName name="ExternalData_2" localSheetId="0" hidden="1">G_Chow!$A$1:$C$118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4" l="1"/>
  <c r="H38" i="4"/>
  <c r="H39" i="4"/>
  <c r="H40" i="4"/>
  <c r="H41" i="4"/>
  <c r="H42" i="4"/>
  <c r="H43" i="4"/>
  <c r="H44" i="4"/>
  <c r="H45" i="4"/>
  <c r="H46" i="4"/>
  <c r="H47" i="4"/>
  <c r="H48" i="4"/>
  <c r="B2" i="6" a="1"/>
  <c r="B2" i="6" s="1"/>
  <c r="W51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Q40" i="5"/>
  <c r="T40" i="5" s="1"/>
  <c r="Q39" i="5"/>
  <c r="T39" i="5" s="1"/>
  <c r="Q38" i="5"/>
  <c r="T38" i="5" s="1"/>
  <c r="E2" i="5"/>
  <c r="F2" i="5" s="1"/>
  <c r="E3" i="5"/>
  <c r="F3" i="5" s="1"/>
  <c r="E4" i="5"/>
  <c r="F4" i="5" s="1"/>
  <c r="E5" i="5"/>
  <c r="F5" i="5" s="1"/>
  <c r="E6" i="5"/>
  <c r="F6" i="5" s="1"/>
  <c r="E7" i="5"/>
  <c r="E8" i="5"/>
  <c r="E9" i="5"/>
  <c r="F9" i="5" s="1"/>
  <c r="E10" i="5"/>
  <c r="F10" i="5" s="1"/>
  <c r="E11" i="5"/>
  <c r="F11" i="5" s="1"/>
  <c r="E12" i="5"/>
  <c r="E13" i="5"/>
  <c r="F13" i="5" s="1"/>
  <c r="E14" i="5"/>
  <c r="F14" i="5" s="1"/>
  <c r="E15" i="5"/>
  <c r="E16" i="5"/>
  <c r="F16" i="5" s="1"/>
  <c r="E17" i="5"/>
  <c r="F17" i="5" s="1"/>
  <c r="E18" i="5"/>
  <c r="F18" i="5" s="1"/>
  <c r="E19" i="5"/>
  <c r="F19" i="5" s="1"/>
  <c r="E20" i="5"/>
  <c r="F20" i="5" s="1"/>
  <c r="E21" i="5"/>
  <c r="F21" i="5" s="1"/>
  <c r="E22" i="5"/>
  <c r="F22" i="5" s="1"/>
  <c r="E23" i="5"/>
  <c r="F23" i="5" s="1"/>
  <c r="E24" i="5"/>
  <c r="E25" i="5"/>
  <c r="F25" i="5" s="1"/>
  <c r="E26" i="5"/>
  <c r="F26" i="5" s="1"/>
  <c r="E27" i="5"/>
  <c r="F27" i="5" s="1"/>
  <c r="E28" i="5"/>
  <c r="E29" i="5"/>
  <c r="F29" i="5" s="1"/>
  <c r="E30" i="5"/>
  <c r="F30" i="5" s="1"/>
  <c r="E31" i="5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38" i="5"/>
  <c r="F38" i="5" s="1"/>
  <c r="E39" i="5"/>
  <c r="F39" i="5" s="1"/>
  <c r="E40" i="5"/>
  <c r="E41" i="5"/>
  <c r="F41" i="5" s="1"/>
  <c r="E42" i="5"/>
  <c r="F42" i="5" s="1"/>
  <c r="E43" i="5"/>
  <c r="E44" i="5"/>
  <c r="E45" i="5"/>
  <c r="F45" i="5" s="1"/>
  <c r="E46" i="5"/>
  <c r="F46" i="5" s="1"/>
  <c r="E47" i="5"/>
  <c r="F47" i="5" s="1"/>
  <c r="E48" i="5"/>
  <c r="F48" i="5" s="1"/>
  <c r="E49" i="5"/>
  <c r="F49" i="5" s="1"/>
  <c r="E50" i="5"/>
  <c r="F50" i="5" s="1"/>
  <c r="E51" i="5"/>
  <c r="F51" i="5" s="1"/>
  <c r="E52" i="5"/>
  <c r="F52" i="5" s="1"/>
  <c r="E53" i="5"/>
  <c r="F53" i="5" s="1"/>
  <c r="E54" i="5"/>
  <c r="F54" i="5" s="1"/>
  <c r="E55" i="5"/>
  <c r="E56" i="5"/>
  <c r="E57" i="5"/>
  <c r="F57" i="5" s="1"/>
  <c r="E58" i="5"/>
  <c r="F58" i="5" s="1"/>
  <c r="E59" i="5"/>
  <c r="F59" i="5" s="1"/>
  <c r="E60" i="5"/>
  <c r="E61" i="5"/>
  <c r="F61" i="5" s="1"/>
  <c r="E62" i="5"/>
  <c r="F62" i="5" s="1"/>
  <c r="E63" i="5"/>
  <c r="E64" i="5"/>
  <c r="F64" i="5" s="1"/>
  <c r="E65" i="5"/>
  <c r="F65" i="5" s="1"/>
  <c r="E66" i="5"/>
  <c r="F66" i="5" s="1"/>
  <c r="E67" i="5"/>
  <c r="F67" i="5" s="1"/>
  <c r="E68" i="5"/>
  <c r="F68" i="5" s="1"/>
  <c r="E69" i="5"/>
  <c r="F69" i="5" s="1"/>
  <c r="E70" i="5"/>
  <c r="F70" i="5" s="1"/>
  <c r="E71" i="5"/>
  <c r="F71" i="5" s="1"/>
  <c r="E72" i="5"/>
  <c r="E73" i="5"/>
  <c r="F73" i="5" s="1"/>
  <c r="E74" i="5"/>
  <c r="E75" i="5"/>
  <c r="F75" i="5" s="1"/>
  <c r="E76" i="5"/>
  <c r="E77" i="5"/>
  <c r="F77" i="5" s="1"/>
  <c r="E78" i="5"/>
  <c r="F78" i="5" s="1"/>
  <c r="E79" i="5"/>
  <c r="F79" i="5" s="1"/>
  <c r="E80" i="5"/>
  <c r="F80" i="5" s="1"/>
  <c r="E81" i="5"/>
  <c r="F81" i="5" s="1"/>
  <c r="E82" i="5"/>
  <c r="F82" i="5" s="1"/>
  <c r="E83" i="5"/>
  <c r="E84" i="5"/>
  <c r="F84" i="5" s="1"/>
  <c r="E85" i="5"/>
  <c r="F85" i="5" s="1"/>
  <c r="E86" i="5"/>
  <c r="F86" i="5" s="1"/>
  <c r="E87" i="5"/>
  <c r="F87" i="5" s="1"/>
  <c r="E88" i="5"/>
  <c r="E89" i="5"/>
  <c r="F89" i="5" s="1"/>
  <c r="E90" i="5"/>
  <c r="F90" i="5" s="1"/>
  <c r="E91" i="5"/>
  <c r="F91" i="5" s="1"/>
  <c r="E92" i="5"/>
  <c r="E93" i="5"/>
  <c r="F93" i="5" s="1"/>
  <c r="E94" i="5"/>
  <c r="F94" i="5" s="1"/>
  <c r="E95" i="5"/>
  <c r="F95" i="5" s="1"/>
  <c r="E96" i="5"/>
  <c r="F96" i="5" s="1"/>
  <c r="E97" i="5"/>
  <c r="F97" i="5" s="1"/>
  <c r="E98" i="5"/>
  <c r="F98" i="5" s="1"/>
  <c r="E99" i="5"/>
  <c r="F99" i="5" s="1"/>
  <c r="E100" i="5"/>
  <c r="F100" i="5" s="1"/>
  <c r="E101" i="5"/>
  <c r="F101" i="5" s="1"/>
  <c r="E102" i="5"/>
  <c r="F102" i="5" s="1"/>
  <c r="E103" i="5"/>
  <c r="F103" i="5" s="1"/>
  <c r="E104" i="5"/>
  <c r="E105" i="5"/>
  <c r="F105" i="5" s="1"/>
  <c r="E106" i="5"/>
  <c r="F106" i="5" s="1"/>
  <c r="E107" i="5"/>
  <c r="F107" i="5" s="1"/>
  <c r="E108" i="5"/>
  <c r="E109" i="5"/>
  <c r="F109" i="5" s="1"/>
  <c r="E110" i="5"/>
  <c r="F110" i="5" s="1"/>
  <c r="E111" i="5"/>
  <c r="E112" i="5"/>
  <c r="F112" i="5" s="1"/>
  <c r="E113" i="5"/>
  <c r="F113" i="5" s="1"/>
  <c r="E114" i="5"/>
  <c r="F114" i="5" s="1"/>
  <c r="E115" i="5"/>
  <c r="F115" i="5" s="1"/>
  <c r="E116" i="5"/>
  <c r="F116" i="5" s="1"/>
  <c r="E117" i="5"/>
  <c r="F117" i="5" s="1"/>
  <c r="E118" i="5"/>
  <c r="F118" i="5" s="1"/>
  <c r="I51" i="5"/>
  <c r="J51" i="5" s="1"/>
  <c r="I48" i="5"/>
  <c r="J48" i="5" s="1"/>
  <c r="I49" i="5"/>
  <c r="J49" i="5" s="1"/>
  <c r="I50" i="5"/>
  <c r="J50" i="5" s="1"/>
  <c r="I35" i="5"/>
  <c r="J35" i="5" s="1"/>
  <c r="I36" i="5"/>
  <c r="J36" i="5" s="1"/>
  <c r="I37" i="5"/>
  <c r="I38" i="5"/>
  <c r="I39" i="5"/>
  <c r="I40" i="5"/>
  <c r="J40" i="5" s="1"/>
  <c r="I41" i="5"/>
  <c r="J41" i="5" s="1"/>
  <c r="I42" i="5"/>
  <c r="J42" i="5" s="1"/>
  <c r="I43" i="5"/>
  <c r="J43" i="5" s="1"/>
  <c r="I44" i="5"/>
  <c r="J44" i="5" s="1"/>
  <c r="I45" i="5"/>
  <c r="J45" i="5" s="1"/>
  <c r="I46" i="5"/>
  <c r="J46" i="5" s="1"/>
  <c r="I47" i="5"/>
  <c r="J47" i="5" s="1"/>
  <c r="J37" i="5"/>
  <c r="J38" i="5"/>
  <c r="J39" i="5"/>
  <c r="I33" i="5"/>
  <c r="J33" i="5" s="1"/>
  <c r="I34" i="5"/>
  <c r="J34" i="5" s="1"/>
  <c r="I14" i="5"/>
  <c r="J14" i="5" s="1"/>
  <c r="I15" i="5"/>
  <c r="J15" i="5" s="1"/>
  <c r="I16" i="5"/>
  <c r="I17" i="5"/>
  <c r="J17" i="5" s="1"/>
  <c r="I18" i="5"/>
  <c r="J18" i="5" s="1"/>
  <c r="I19" i="5"/>
  <c r="J19" i="5" s="1"/>
  <c r="I20" i="5"/>
  <c r="J20" i="5" s="1"/>
  <c r="I21" i="5"/>
  <c r="J21" i="5" s="1"/>
  <c r="I22" i="5"/>
  <c r="J22" i="5" s="1"/>
  <c r="I23" i="5"/>
  <c r="J23" i="5" s="1"/>
  <c r="I24" i="5"/>
  <c r="J24" i="5" s="1"/>
  <c r="I25" i="5"/>
  <c r="J25" i="5" s="1"/>
  <c r="I26" i="5"/>
  <c r="J26" i="5" s="1"/>
  <c r="I27" i="5"/>
  <c r="J27" i="5" s="1"/>
  <c r="I28" i="5"/>
  <c r="J28" i="5" s="1"/>
  <c r="I29" i="5"/>
  <c r="J29" i="5" s="1"/>
  <c r="I30" i="5"/>
  <c r="J30" i="5" s="1"/>
  <c r="I31" i="5"/>
  <c r="J31" i="5" s="1"/>
  <c r="I32" i="5"/>
  <c r="J32" i="5" s="1"/>
  <c r="J16" i="5"/>
  <c r="I3" i="5"/>
  <c r="J3" i="5" s="1"/>
  <c r="I4" i="5"/>
  <c r="J4" i="5" s="1"/>
  <c r="I5" i="5"/>
  <c r="J5" i="5" s="1"/>
  <c r="I6" i="5"/>
  <c r="J6" i="5" s="1"/>
  <c r="I7" i="5"/>
  <c r="J7" i="5" s="1"/>
  <c r="I8" i="5"/>
  <c r="J8" i="5" s="1"/>
  <c r="I9" i="5"/>
  <c r="J9" i="5" s="1"/>
  <c r="I10" i="5"/>
  <c r="J10" i="5" s="1"/>
  <c r="I11" i="5"/>
  <c r="J11" i="5" s="1"/>
  <c r="I12" i="5"/>
  <c r="J12" i="5" s="1"/>
  <c r="I13" i="5"/>
  <c r="J13" i="5" s="1"/>
  <c r="I2" i="5"/>
  <c r="J2" i="5" s="1"/>
  <c r="F7" i="5"/>
  <c r="F8" i="5"/>
  <c r="F12" i="5"/>
  <c r="F15" i="5"/>
  <c r="F24" i="5"/>
  <c r="F28" i="5"/>
  <c r="F31" i="5"/>
  <c r="F40" i="5"/>
  <c r="F43" i="5"/>
  <c r="F44" i="5"/>
  <c r="F55" i="5"/>
  <c r="F56" i="5"/>
  <c r="F60" i="5"/>
  <c r="F63" i="5"/>
  <c r="F72" i="5"/>
  <c r="F74" i="5"/>
  <c r="F76" i="5"/>
  <c r="F83" i="5"/>
  <c r="F88" i="5"/>
  <c r="F92" i="5"/>
  <c r="F104" i="5"/>
  <c r="F108" i="5"/>
  <c r="F111" i="5"/>
  <c r="C63" i="2"/>
  <c r="C92" i="2" s="1"/>
  <c r="C64" i="2"/>
  <c r="C93" i="2" s="1"/>
  <c r="C65" i="2"/>
  <c r="C94" i="2" s="1"/>
  <c r="C66" i="2"/>
  <c r="C95" i="2" s="1"/>
  <c r="C67" i="2"/>
  <c r="C96" i="2" s="1"/>
  <c r="C68" i="2"/>
  <c r="C97" i="2" s="1"/>
  <c r="C69" i="2"/>
  <c r="C98" i="2" s="1"/>
  <c r="C70" i="2"/>
  <c r="C99" i="2" s="1"/>
  <c r="C71" i="2"/>
  <c r="C100" i="2" s="1"/>
  <c r="C72" i="2"/>
  <c r="C101" i="2" s="1"/>
  <c r="C73" i="2"/>
  <c r="C102" i="2" s="1"/>
  <c r="C74" i="2"/>
  <c r="C103" i="2" s="1"/>
  <c r="C75" i="2"/>
  <c r="C104" i="2" s="1"/>
  <c r="C76" i="2"/>
  <c r="C105" i="2" s="1"/>
  <c r="C77" i="2"/>
  <c r="C106" i="2" s="1"/>
  <c r="C78" i="2"/>
  <c r="C107" i="2" s="1"/>
  <c r="C79" i="2"/>
  <c r="C108" i="2" s="1"/>
  <c r="C80" i="2"/>
  <c r="C109" i="2" s="1"/>
  <c r="C81" i="2"/>
  <c r="C110" i="2" s="1"/>
  <c r="C82" i="2"/>
  <c r="C111" i="2" s="1"/>
  <c r="C83" i="2"/>
  <c r="C112" i="2" s="1"/>
  <c r="C84" i="2"/>
  <c r="C113" i="2" s="1"/>
  <c r="C85" i="2"/>
  <c r="C114" i="2" s="1"/>
  <c r="C86" i="2"/>
  <c r="C115" i="2" s="1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9" i="2"/>
  <c r="C10" i="2"/>
  <c r="C11" i="2"/>
  <c r="C12" i="2"/>
  <c r="C13" i="2"/>
  <c r="C14" i="2"/>
  <c r="C15" i="2"/>
  <c r="C16" i="2"/>
  <c r="C17" i="2"/>
  <c r="C8" i="2"/>
  <c r="F37" i="4"/>
  <c r="F41" i="4"/>
  <c r="F45" i="4"/>
  <c r="F38" i="4"/>
  <c r="F42" i="4"/>
  <c r="F46" i="4"/>
  <c r="F44" i="4"/>
  <c r="F39" i="4"/>
  <c r="F43" i="4"/>
  <c r="F47" i="4"/>
  <c r="F40" i="4"/>
  <c r="F48" i="4"/>
  <c r="G37" i="4" l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W49" i="5"/>
  <c r="W53" i="5"/>
  <c r="J52" i="5"/>
  <c r="S38" i="5" s="1"/>
  <c r="N69" i="5"/>
  <c r="S39" i="5" s="1"/>
  <c r="W48" i="5" s="1"/>
  <c r="F119" i="5"/>
  <c r="S40" i="5" s="1"/>
  <c r="W50" i="5" l="1"/>
  <c r="W5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DCFE15-8CEE-46F8-B998-F41305811563}" keepAlive="1" name="Запрос — Curr_1" description="Соединение с запросом &quot;Curr_1&quot; в книге." type="5" refreshedVersion="0" background="1">
    <dbPr connection="Provider=Microsoft.Mashup.OleDb.1;Data Source=$Workbook$;Location=Curr_1;Extended Properties=&quot;&quot;" command="SELECT * FROM [Curr_1]"/>
  </connection>
  <connection id="2" xr16:uid="{00A2E98D-1780-41B0-A5E8-46171E003BFD}" keepAlive="1" name="Запрос — Curr_2" description="Соединение с запросом &quot;Curr_2&quot; в книге." type="5" refreshedVersion="0" background="1">
    <dbPr connection="Provider=Microsoft.Mashup.OleDb.1;Data Source=$Workbook$;Location=Curr_2;Extended Properties=&quot;&quot;" command="SELECT * FROM [Curr_2]"/>
  </connection>
  <connection id="3" xr16:uid="{8F129E6C-0AF6-4566-BBC1-39850D6DF236}" keepAlive="1" name="Запрос — CurrExchange" description="Соединение с запросом &quot;CurrExchange&quot; в книге." type="5" refreshedVersion="7" background="1" saveData="1">
    <dbPr connection="Provider=Microsoft.Mashup.OleDb.1;Data Source=$Workbook$;Location=CurrExchange;Extended Properties=&quot;&quot;" command="SELECT * FROM [CurrExchange]"/>
  </connection>
  <connection id="4" xr16:uid="{0A3D0FBE-75CE-4FC1-A465-9316ACA3E7EB}" keepAlive="1" name="Запрос — CurrExchange_2" description="Соединение с запросом &quot;CurrExchange_2&quot; в книге." type="5" refreshedVersion="7" background="1" saveData="1">
    <dbPr connection="Provider=Microsoft.Mashup.OleDb.1;Data Source=$Workbook$;Location=CurrExchange_2;Extended Properties=&quot;&quot;" command="SELECT * FROM [CurrExchange_2]"/>
  </connection>
  <connection id="5" xr16:uid="{9C8A92B5-A5AD-4B88-8DE9-438EBE0D9E5E}" keepAlive="1" name="Запрос — fParams" description="Соединение с запросом &quot;fParams&quot; в книге." type="5" refreshedVersion="0" background="1">
    <dbPr connection="Provider=Microsoft.Mashup.OleDb.1;Data Source=$Workbook$;Location=fParams;Extended Properties=&quot;&quot;" command="SELECT * FROM [fParams]"/>
  </connection>
  <connection id="6" xr16:uid="{308B8F60-D106-4535-B0F9-469865676CD9}" keepAlive="1" name="Запрос — JPY-USD 2019" description="Соединение с запросом &quot;JPY-USD 2019&quot; в книге." type="5" refreshedVersion="7" background="1" saveData="1">
    <dbPr connection="Provider=Microsoft.Mashup.OleDb.1;Data Source=$Workbook$;Location=&quot;JPY-USD 2019&quot;;Extended Properties=&quot;&quot;" command="SELECT * FROM [JPY-USD 2019]"/>
  </connection>
  <connection id="7" xr16:uid="{9DA0058D-FB02-4EDB-965B-CD2AA44B3315}" keepAlive="1" name="Запрос — Year" description="Соединение с запросом &quot;Year&quot; в книге." type="5" refreshedVersion="0" background="1">
    <dbPr connection="Provider=Microsoft.Mashup.OleDb.1;Data Source=$Workbook$;Location=Year;Extended Properties=&quot;&quot;" command="SELECT * FROM [Year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<sst xmlns="http://schemas.openxmlformats.org/spreadsheetml/2006/main" count="441" uniqueCount="69">
  <si>
    <t>Дата</t>
  </si>
  <si>
    <t>Индекс</t>
  </si>
  <si>
    <t>Карман</t>
  </si>
  <si>
    <t>Еще</t>
  </si>
  <si>
    <t>Частота</t>
  </si>
  <si>
    <t>Тенденция</t>
  </si>
  <si>
    <t>t</t>
  </si>
  <si>
    <t>Компоненты временного ряда</t>
  </si>
  <si>
    <t>Циклическая компонента</t>
  </si>
  <si>
    <t>Случайная компонента</t>
  </si>
  <si>
    <t>f(t)</t>
  </si>
  <si>
    <t>c(t)</t>
  </si>
  <si>
    <t>ε</t>
  </si>
  <si>
    <t>Аддитивная модель данных</t>
  </si>
  <si>
    <t>Y</t>
  </si>
  <si>
    <t>Курс</t>
  </si>
  <si>
    <t>Названия строк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</si>
  <si>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</si>
  <si>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</si>
  <si>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</si>
  <si>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</si>
  <si>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</si>
  <si>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</si>
  <si>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</si>
  <si>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</si>
  <si>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</si>
  <si>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</si>
  <si>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</si>
  <si>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</si>
  <si>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Среднее по полю Курс</t>
  </si>
  <si>
    <t>USD-JPY</t>
  </si>
  <si>
    <t>Обмен</t>
  </si>
  <si>
    <t>Тест Грегори Чоу</t>
  </si>
  <si>
    <t>X3</t>
  </si>
  <si>
    <t>M3</t>
  </si>
  <si>
    <t>S3</t>
  </si>
  <si>
    <t>X1</t>
  </si>
  <si>
    <t>M1</t>
  </si>
  <si>
    <t>S1</t>
  </si>
  <si>
    <t>X2</t>
  </si>
  <si>
    <t>M2</t>
  </si>
  <si>
    <t>S2</t>
  </si>
  <si>
    <t>Итог</t>
  </si>
  <si>
    <t>m</t>
  </si>
  <si>
    <t>k</t>
  </si>
  <si>
    <t>SS</t>
  </si>
  <si>
    <t>ЧСС</t>
  </si>
  <si>
    <t>№</t>
  </si>
  <si>
    <t>F-фактическое</t>
  </si>
  <si>
    <t>F-табличное</t>
  </si>
  <si>
    <t>Fфакт&gt;Fтабл =&gt; гипотеза H0 о структурной однородности данных не подтверждается.</t>
  </si>
  <si>
    <t>SSклм (Остаточная сумма квадратов КЛМ)</t>
  </si>
  <si>
    <t>ЧССклм (Число степеней свободы КЛМ)</t>
  </si>
  <si>
    <t>где m - число наблюдений</t>
  </si>
  <si>
    <t>k - чилсо параметров модели</t>
  </si>
  <si>
    <t>ЧСС - число степеней свободы</t>
  </si>
  <si>
    <t>SS - остаточная сумма квадратов единой модели</t>
  </si>
  <si>
    <t>КЛМ - кусочно-линейная модель</t>
  </si>
  <si>
    <t>ΔЧСС (Сокращение ЧСС при переходе к КЛМ)</t>
  </si>
  <si>
    <t>Модель</t>
  </si>
  <si>
    <t>КЛМ</t>
  </si>
  <si>
    <t>Единая</t>
  </si>
  <si>
    <t>ΔSS (Сокращение SS при переходе к КЛМ)</t>
  </si>
  <si>
    <t>Param</t>
  </si>
  <si>
    <t>Value</t>
  </si>
  <si>
    <t>Path</t>
  </si>
  <si>
    <t>α</t>
  </si>
  <si>
    <t>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</si>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</sst>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</font>
    <font>
      <b/>
      <sz val="11"/>
      <color theme="4" tint="-0.249977111117893"/>
      <name val="Calibri"/>
      <family val="2"/>
      <charset val="204"/>
      <scheme val="minor"/>
    </font>
    <font>
      <b/>
      <sz val="11"/>
      <color theme="4" tint="-0.499984740745262"/>
      <name val="Calibri"/>
      <family val="2"/>
      <charset val="204"/>
      <scheme val="minor"/>
    </font>
    <font>
      <b/>
      <sz val="11"/>
      <color theme="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3" fillId="0" borderId="0" xfId="0" applyFont="1"/>
    <xf numFmtId="0" fontId="0" fillId="3" borderId="3" xfId="0" applyFont="1" applyFill="1" applyBorder="1"/>
    <xf numFmtId="0" fontId="0" fillId="0" borderId="3" xfId="0" applyFont="1" applyBorder="1"/>
    <xf numFmtId="0" fontId="2" fillId="2" borderId="0" xfId="0" applyFont="1" applyFill="1" applyBorder="1"/>
    <xf numFmtId="1" fontId="0" fillId="0" borderId="3" xfId="0" applyNumberFormat="1" applyFont="1" applyFill="1" applyBorder="1"/>
    <xf numFmtId="0" fontId="0" fillId="0" borderId="3" xfId="0" applyFont="1" applyFill="1" applyBorder="1"/>
    <xf numFmtId="1" fontId="0" fillId="0" borderId="4" xfId="0" applyNumberFormat="1" applyFont="1" applyFill="1" applyBorder="1"/>
    <xf numFmtId="0" fontId="0" fillId="0" borderId="3" xfId="0" applyNumberFormat="1" applyFont="1" applyBorder="1"/>
    <xf numFmtId="0" fontId="0" fillId="3" borderId="3" xfId="0" applyNumberFormat="1" applyFont="1" applyFill="1" applyBorder="1"/>
    <xf numFmtId="0" fontId="4" fillId="2" borderId="0" xfId="0" applyFont="1" applyFill="1" applyBorder="1"/>
    <xf numFmtId="0" fontId="5" fillId="0" borderId="0" xfId="0" applyFont="1"/>
    <xf numFmtId="0" fontId="0" fillId="0" borderId="3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2" fontId="0" fillId="0" borderId="0" xfId="0" applyNumberFormat="1"/>
    <xf numFmtId="0" fontId="7" fillId="2" borderId="6" xfId="0" applyFont="1" applyFill="1" applyBorder="1" applyAlignment="1">
      <alignment horizontal="right"/>
    </xf>
    <xf numFmtId="0" fontId="0" fillId="3" borderId="5" xfId="0" applyFont="1" applyFill="1" applyBorder="1" applyAlignment="1"/>
    <xf numFmtId="0" fontId="0" fillId="0" borderId="0" xfId="0" applyAlignment="1">
      <alignment horizontal="center"/>
    </xf>
  </cellXfs>
  <cellStyles count="1">
    <cellStyle name="Обычный" xfId="0" builtinId="0"/>
  </cellStyles>
  <dxfs count="1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theme="4"/>
          <bgColor theme="4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G_Chow!$C$2</c:f>
              <c:strCache>
                <c:ptCount val="1"/>
                <c:pt idx="0">
                  <c:v>USD-JPY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379101049868766"/>
                  <c:y val="-0.299628370576462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G_Chow!$B$2:$B$118</c:f>
              <c:numCache>
                <c:formatCode>General</c:formatCode>
                <c:ptCount val="117"/>
                <c:pt idx="0">
                  <c:v>112.86</c:v>
                </c:pt>
                <c:pt idx="1">
                  <c:v>111.93</c:v>
                </c:pt>
                <c:pt idx="2">
                  <c:v>111.69</c:v>
                </c:pt>
                <c:pt idx="3">
                  <c:v>111.26</c:v>
                </c:pt>
                <c:pt idx="4">
                  <c:v>110.7</c:v>
                </c:pt>
                <c:pt idx="5">
                  <c:v>110.71</c:v>
                </c:pt>
                <c:pt idx="6">
                  <c:v>110.76</c:v>
                </c:pt>
                <c:pt idx="7">
                  <c:v>111.21</c:v>
                </c:pt>
                <c:pt idx="8">
                  <c:v>110.58</c:v>
                </c:pt>
                <c:pt idx="9">
                  <c:v>110.85</c:v>
                </c:pt>
                <c:pt idx="10">
                  <c:v>110.95</c:v>
                </c:pt>
                <c:pt idx="11">
                  <c:v>109.87</c:v>
                </c:pt>
                <c:pt idx="12">
                  <c:v>109.12</c:v>
                </c:pt>
                <c:pt idx="13">
                  <c:v>108.98</c:v>
                </c:pt>
                <c:pt idx="14">
                  <c:v>108.97</c:v>
                </c:pt>
                <c:pt idx="15">
                  <c:v>108.76</c:v>
                </c:pt>
                <c:pt idx="16">
                  <c:v>108.69</c:v>
                </c:pt>
                <c:pt idx="17">
                  <c:v>109.54</c:v>
                </c:pt>
                <c:pt idx="18">
                  <c:v>109.76</c:v>
                </c:pt>
                <c:pt idx="19">
                  <c:v>109.86</c:v>
                </c:pt>
                <c:pt idx="20">
                  <c:v>109.23</c:v>
                </c:pt>
                <c:pt idx="21">
                  <c:v>109.01</c:v>
                </c:pt>
                <c:pt idx="22">
                  <c:v>109.72</c:v>
                </c:pt>
                <c:pt idx="23">
                  <c:v>109.25</c:v>
                </c:pt>
                <c:pt idx="24">
                  <c:v>108.6</c:v>
                </c:pt>
                <c:pt idx="25">
                  <c:v>107.62</c:v>
                </c:pt>
                <c:pt idx="26">
                  <c:v>107.37</c:v>
                </c:pt>
                <c:pt idx="27">
                  <c:v>106.46</c:v>
                </c:pt>
                <c:pt idx="28">
                  <c:v>105.89</c:v>
                </c:pt>
                <c:pt idx="29">
                  <c:v>106.58</c:v>
                </c:pt>
                <c:pt idx="30">
                  <c:v>107.08</c:v>
                </c:pt>
                <c:pt idx="31">
                  <c:v>107.67</c:v>
                </c:pt>
                <c:pt idx="32">
                  <c:v>107.34</c:v>
                </c:pt>
                <c:pt idx="33">
                  <c:v>106.63</c:v>
                </c:pt>
                <c:pt idx="34">
                  <c:v>107.07</c:v>
                </c:pt>
                <c:pt idx="35">
                  <c:v>107.15</c:v>
                </c:pt>
                <c:pt idx="36">
                  <c:v>106.8</c:v>
                </c:pt>
                <c:pt idx="37">
                  <c:v>105.79</c:v>
                </c:pt>
                <c:pt idx="38">
                  <c:v>105.49</c:v>
                </c:pt>
                <c:pt idx="39">
                  <c:v>106.05</c:v>
                </c:pt>
                <c:pt idx="40">
                  <c:v>105.79</c:v>
                </c:pt>
                <c:pt idx="41">
                  <c:v>106.49</c:v>
                </c:pt>
                <c:pt idx="42">
                  <c:v>106.93</c:v>
                </c:pt>
                <c:pt idx="43">
                  <c:v>106.65</c:v>
                </c:pt>
                <c:pt idx="44">
                  <c:v>106.12</c:v>
                </c:pt>
                <c:pt idx="45">
                  <c:v>105.72</c:v>
                </c:pt>
                <c:pt idx="46">
                  <c:v>105.85</c:v>
                </c:pt>
                <c:pt idx="47">
                  <c:v>106.43</c:v>
                </c:pt>
                <c:pt idx="48">
                  <c:v>106.31</c:v>
                </c:pt>
                <c:pt idx="49">
                  <c:v>105.71</c:v>
                </c:pt>
                <c:pt idx="50">
                  <c:v>105.02</c:v>
                </c:pt>
                <c:pt idx="51">
                  <c:v>105.09</c:v>
                </c:pt>
                <c:pt idx="52">
                  <c:v>105.53</c:v>
                </c:pt>
                <c:pt idx="53">
                  <c:v>105.59</c:v>
                </c:pt>
                <c:pt idx="54">
                  <c:v>106.6</c:v>
                </c:pt>
                <c:pt idx="55">
                  <c:v>106.18</c:v>
                </c:pt>
                <c:pt idx="56">
                  <c:v>106.3</c:v>
                </c:pt>
                <c:pt idx="57">
                  <c:v>106.14</c:v>
                </c:pt>
                <c:pt idx="58">
                  <c:v>106.09</c:v>
                </c:pt>
                <c:pt idx="59">
                  <c:v>107.08</c:v>
                </c:pt>
                <c:pt idx="60">
                  <c:v>107.41</c:v>
                </c:pt>
                <c:pt idx="61">
                  <c:v>107.15</c:v>
                </c:pt>
                <c:pt idx="62">
                  <c:v>107.05</c:v>
                </c:pt>
                <c:pt idx="63">
                  <c:v>106.91</c:v>
                </c:pt>
                <c:pt idx="64">
                  <c:v>106.9</c:v>
                </c:pt>
                <c:pt idx="65">
                  <c:v>107.62</c:v>
                </c:pt>
                <c:pt idx="66">
                  <c:v>107.22</c:v>
                </c:pt>
                <c:pt idx="67">
                  <c:v>106.99</c:v>
                </c:pt>
                <c:pt idx="68">
                  <c:v>107.33</c:v>
                </c:pt>
                <c:pt idx="69">
                  <c:v>107.35</c:v>
                </c:pt>
                <c:pt idx="70">
                  <c:v>107.56</c:v>
                </c:pt>
                <c:pt idx="71">
                  <c:v>107.87</c:v>
                </c:pt>
                <c:pt idx="72">
                  <c:v>108.83</c:v>
                </c:pt>
                <c:pt idx="73">
                  <c:v>109.22</c:v>
                </c:pt>
                <c:pt idx="74">
                  <c:v>109.34</c:v>
                </c:pt>
                <c:pt idx="75">
                  <c:v>109.33</c:v>
                </c:pt>
                <c:pt idx="76">
                  <c:v>109.04</c:v>
                </c:pt>
                <c:pt idx="77">
                  <c:v>109.66</c:v>
                </c:pt>
                <c:pt idx="78">
                  <c:v>109.09</c:v>
                </c:pt>
                <c:pt idx="79">
                  <c:v>109.24</c:v>
                </c:pt>
                <c:pt idx="80">
                  <c:v>108.99</c:v>
                </c:pt>
                <c:pt idx="81">
                  <c:v>109.86</c:v>
                </c:pt>
                <c:pt idx="82">
                  <c:v>109.36</c:v>
                </c:pt>
                <c:pt idx="83">
                  <c:v>109.55</c:v>
                </c:pt>
                <c:pt idx="84">
                  <c:v>109.87</c:v>
                </c:pt>
                <c:pt idx="85">
                  <c:v>110.18</c:v>
                </c:pt>
                <c:pt idx="86">
                  <c:v>110.65</c:v>
                </c:pt>
                <c:pt idx="87">
                  <c:v>110.95</c:v>
                </c:pt>
                <c:pt idx="88">
                  <c:v>111.35</c:v>
                </c:pt>
                <c:pt idx="89">
                  <c:v>110.99</c:v>
                </c:pt>
                <c:pt idx="90">
                  <c:v>109.92</c:v>
                </c:pt>
                <c:pt idx="91">
                  <c:v>109.68</c:v>
                </c:pt>
                <c:pt idx="92">
                  <c:v>109.46</c:v>
                </c:pt>
                <c:pt idx="93">
                  <c:v>109.43</c:v>
                </c:pt>
                <c:pt idx="94">
                  <c:v>108.56</c:v>
                </c:pt>
                <c:pt idx="95">
                  <c:v>108.66</c:v>
                </c:pt>
                <c:pt idx="96">
                  <c:v>108.84</c:v>
                </c:pt>
                <c:pt idx="97">
                  <c:v>109.13</c:v>
                </c:pt>
                <c:pt idx="98">
                  <c:v>109.52</c:v>
                </c:pt>
                <c:pt idx="99">
                  <c:v>109.82</c:v>
                </c:pt>
                <c:pt idx="100">
                  <c:v>110.04</c:v>
                </c:pt>
                <c:pt idx="101">
                  <c:v>109.94</c:v>
                </c:pt>
                <c:pt idx="102">
                  <c:v>109.36</c:v>
                </c:pt>
                <c:pt idx="103">
                  <c:v>109.55</c:v>
                </c:pt>
                <c:pt idx="104">
                  <c:v>110.67</c:v>
                </c:pt>
                <c:pt idx="105">
                  <c:v>110.01</c:v>
                </c:pt>
                <c:pt idx="106">
                  <c:v>110.46</c:v>
                </c:pt>
                <c:pt idx="107">
                  <c:v>110.49</c:v>
                </c:pt>
                <c:pt idx="108">
                  <c:v>109.69</c:v>
                </c:pt>
                <c:pt idx="109">
                  <c:v>110.14</c:v>
                </c:pt>
                <c:pt idx="110">
                  <c:v>110.58</c:v>
                </c:pt>
                <c:pt idx="111">
                  <c:v>110.19</c:v>
                </c:pt>
                <c:pt idx="112">
                  <c:v>109.52</c:v>
                </c:pt>
                <c:pt idx="113">
                  <c:v>109.68</c:v>
                </c:pt>
                <c:pt idx="114">
                  <c:v>109.78</c:v>
                </c:pt>
                <c:pt idx="115">
                  <c:v>110.39</c:v>
                </c:pt>
                <c:pt idx="116">
                  <c:v>110.68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2A-4948-A0E9-56339C910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751391"/>
        <c:axId val="1096758463"/>
      </c:lineChart>
      <c:catAx>
        <c:axId val="1096751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6758463"/>
        <c:crosses val="autoZero"/>
        <c:auto val="1"/>
        <c:lblAlgn val="ctr"/>
        <c:lblOffset val="100"/>
        <c:noMultiLvlLbl val="0"/>
      </c:catAx>
      <c:valAx>
        <c:axId val="109675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675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G_Chow!$C$2</c:f>
              <c:strCache>
                <c:ptCount val="1"/>
                <c:pt idx="0">
                  <c:v>USD-JPY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2834864391951005E-2"/>
                  <c:y val="-0.427362933799941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G_Chow!$B$2:$B$51</c:f>
              <c:numCache>
                <c:formatCode>General</c:formatCode>
                <c:ptCount val="50"/>
                <c:pt idx="0">
                  <c:v>112.86</c:v>
                </c:pt>
                <c:pt idx="1">
                  <c:v>111.93</c:v>
                </c:pt>
                <c:pt idx="2">
                  <c:v>111.69</c:v>
                </c:pt>
                <c:pt idx="3">
                  <c:v>111.26</c:v>
                </c:pt>
                <c:pt idx="4">
                  <c:v>110.7</c:v>
                </c:pt>
                <c:pt idx="5">
                  <c:v>110.71</c:v>
                </c:pt>
                <c:pt idx="6">
                  <c:v>110.76</c:v>
                </c:pt>
                <c:pt idx="7">
                  <c:v>111.21</c:v>
                </c:pt>
                <c:pt idx="8">
                  <c:v>110.58</c:v>
                </c:pt>
                <c:pt idx="9">
                  <c:v>110.85</c:v>
                </c:pt>
                <c:pt idx="10">
                  <c:v>110.95</c:v>
                </c:pt>
                <c:pt idx="11">
                  <c:v>109.87</c:v>
                </c:pt>
                <c:pt idx="12">
                  <c:v>109.12</c:v>
                </c:pt>
                <c:pt idx="13">
                  <c:v>108.98</c:v>
                </c:pt>
                <c:pt idx="14">
                  <c:v>108.97</c:v>
                </c:pt>
                <c:pt idx="15">
                  <c:v>108.76</c:v>
                </c:pt>
                <c:pt idx="16">
                  <c:v>108.69</c:v>
                </c:pt>
                <c:pt idx="17">
                  <c:v>109.54</c:v>
                </c:pt>
                <c:pt idx="18">
                  <c:v>109.76</c:v>
                </c:pt>
                <c:pt idx="19">
                  <c:v>109.86</c:v>
                </c:pt>
                <c:pt idx="20">
                  <c:v>109.23</c:v>
                </c:pt>
                <c:pt idx="21">
                  <c:v>109.01</c:v>
                </c:pt>
                <c:pt idx="22">
                  <c:v>109.72</c:v>
                </c:pt>
                <c:pt idx="23">
                  <c:v>109.25</c:v>
                </c:pt>
                <c:pt idx="24">
                  <c:v>108.6</c:v>
                </c:pt>
                <c:pt idx="25">
                  <c:v>107.62</c:v>
                </c:pt>
                <c:pt idx="26">
                  <c:v>107.37</c:v>
                </c:pt>
                <c:pt idx="27">
                  <c:v>106.46</c:v>
                </c:pt>
                <c:pt idx="28">
                  <c:v>105.89</c:v>
                </c:pt>
                <c:pt idx="29">
                  <c:v>106.58</c:v>
                </c:pt>
                <c:pt idx="30">
                  <c:v>107.08</c:v>
                </c:pt>
                <c:pt idx="31">
                  <c:v>107.67</c:v>
                </c:pt>
                <c:pt idx="32">
                  <c:v>107.34</c:v>
                </c:pt>
                <c:pt idx="33">
                  <c:v>106.63</c:v>
                </c:pt>
                <c:pt idx="34">
                  <c:v>107.07</c:v>
                </c:pt>
                <c:pt idx="35">
                  <c:v>107.15</c:v>
                </c:pt>
                <c:pt idx="36">
                  <c:v>106.8</c:v>
                </c:pt>
                <c:pt idx="37">
                  <c:v>105.79</c:v>
                </c:pt>
                <c:pt idx="38">
                  <c:v>105.49</c:v>
                </c:pt>
                <c:pt idx="39">
                  <c:v>106.05</c:v>
                </c:pt>
                <c:pt idx="40">
                  <c:v>105.79</c:v>
                </c:pt>
                <c:pt idx="41">
                  <c:v>106.49</c:v>
                </c:pt>
                <c:pt idx="42">
                  <c:v>106.93</c:v>
                </c:pt>
                <c:pt idx="43">
                  <c:v>106.65</c:v>
                </c:pt>
                <c:pt idx="44">
                  <c:v>106.12</c:v>
                </c:pt>
                <c:pt idx="45">
                  <c:v>105.72</c:v>
                </c:pt>
                <c:pt idx="46">
                  <c:v>105.85</c:v>
                </c:pt>
                <c:pt idx="47">
                  <c:v>106.43</c:v>
                </c:pt>
                <c:pt idx="48">
                  <c:v>106.31</c:v>
                </c:pt>
                <c:pt idx="49">
                  <c:v>105.71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4-41D0-AE32-6491E70AE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023311"/>
        <c:axId val="1180020815"/>
      </c:lineChart>
      <c:catAx>
        <c:axId val="1180023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0020815"/>
        <c:crosses val="autoZero"/>
        <c:auto val="1"/>
        <c:lblAlgn val="ctr"/>
        <c:lblOffset val="100"/>
        <c:noMultiLvlLbl val="0"/>
      </c:catAx>
      <c:valAx>
        <c:axId val="118002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002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G_Chow!$C$2</c:f>
              <c:strCache>
                <c:ptCount val="1"/>
                <c:pt idx="0">
                  <c:v>USD-JPY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6416229221347332E-2"/>
                  <c:y val="-8.83796296296296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G_Chow!$B$52:$B$118</c:f>
              <c:numCache>
                <c:formatCode>General</c:formatCode>
                <c:ptCount val="67"/>
                <c:pt idx="0">
                  <c:v>105.02</c:v>
                </c:pt>
                <c:pt idx="1">
                  <c:v>105.09</c:v>
                </c:pt>
                <c:pt idx="2">
                  <c:v>105.53</c:v>
                </c:pt>
                <c:pt idx="3">
                  <c:v>105.59</c:v>
                </c:pt>
                <c:pt idx="4">
                  <c:v>106.6</c:v>
                </c:pt>
                <c:pt idx="5">
                  <c:v>106.18</c:v>
                </c:pt>
                <c:pt idx="6">
                  <c:v>106.3</c:v>
                </c:pt>
                <c:pt idx="7">
                  <c:v>106.14</c:v>
                </c:pt>
                <c:pt idx="8">
                  <c:v>106.09</c:v>
                </c:pt>
                <c:pt idx="9">
                  <c:v>107.08</c:v>
                </c:pt>
                <c:pt idx="10">
                  <c:v>107.41</c:v>
                </c:pt>
                <c:pt idx="11">
                  <c:v>107.15</c:v>
                </c:pt>
                <c:pt idx="12">
                  <c:v>107.05</c:v>
                </c:pt>
                <c:pt idx="13">
                  <c:v>106.91</c:v>
                </c:pt>
                <c:pt idx="14">
                  <c:v>106.9</c:v>
                </c:pt>
                <c:pt idx="15">
                  <c:v>107.62</c:v>
                </c:pt>
                <c:pt idx="16">
                  <c:v>107.22</c:v>
                </c:pt>
                <c:pt idx="17">
                  <c:v>106.99</c:v>
                </c:pt>
                <c:pt idx="18">
                  <c:v>107.33</c:v>
                </c:pt>
                <c:pt idx="19">
                  <c:v>107.35</c:v>
                </c:pt>
                <c:pt idx="20">
                  <c:v>107.56</c:v>
                </c:pt>
                <c:pt idx="21">
                  <c:v>107.87</c:v>
                </c:pt>
                <c:pt idx="22">
                  <c:v>108.83</c:v>
                </c:pt>
                <c:pt idx="23">
                  <c:v>109.22</c:v>
                </c:pt>
                <c:pt idx="24">
                  <c:v>109.34</c:v>
                </c:pt>
                <c:pt idx="25">
                  <c:v>109.33</c:v>
                </c:pt>
                <c:pt idx="26">
                  <c:v>109.04</c:v>
                </c:pt>
                <c:pt idx="27">
                  <c:v>109.66</c:v>
                </c:pt>
                <c:pt idx="28">
                  <c:v>109.09</c:v>
                </c:pt>
                <c:pt idx="29">
                  <c:v>109.24</c:v>
                </c:pt>
                <c:pt idx="30">
                  <c:v>108.99</c:v>
                </c:pt>
                <c:pt idx="31">
                  <c:v>109.86</c:v>
                </c:pt>
                <c:pt idx="32">
                  <c:v>109.36</c:v>
                </c:pt>
                <c:pt idx="33">
                  <c:v>109.55</c:v>
                </c:pt>
                <c:pt idx="34">
                  <c:v>109.87</c:v>
                </c:pt>
                <c:pt idx="35">
                  <c:v>110.18</c:v>
                </c:pt>
                <c:pt idx="36">
                  <c:v>110.65</c:v>
                </c:pt>
                <c:pt idx="37">
                  <c:v>110.95</c:v>
                </c:pt>
                <c:pt idx="38">
                  <c:v>111.35</c:v>
                </c:pt>
                <c:pt idx="39">
                  <c:v>110.99</c:v>
                </c:pt>
                <c:pt idx="40">
                  <c:v>109.92</c:v>
                </c:pt>
                <c:pt idx="41">
                  <c:v>109.68</c:v>
                </c:pt>
                <c:pt idx="42">
                  <c:v>109.46</c:v>
                </c:pt>
                <c:pt idx="43">
                  <c:v>109.43</c:v>
                </c:pt>
                <c:pt idx="44">
                  <c:v>108.56</c:v>
                </c:pt>
                <c:pt idx="45">
                  <c:v>108.66</c:v>
                </c:pt>
                <c:pt idx="46">
                  <c:v>108.84</c:v>
                </c:pt>
                <c:pt idx="47">
                  <c:v>109.13</c:v>
                </c:pt>
                <c:pt idx="48">
                  <c:v>109.52</c:v>
                </c:pt>
                <c:pt idx="49">
                  <c:v>109.82</c:v>
                </c:pt>
                <c:pt idx="50">
                  <c:v>110.04</c:v>
                </c:pt>
                <c:pt idx="51">
                  <c:v>109.94</c:v>
                </c:pt>
                <c:pt idx="52">
                  <c:v>109.36</c:v>
                </c:pt>
                <c:pt idx="53">
                  <c:v>109.55</c:v>
                </c:pt>
                <c:pt idx="54">
                  <c:v>110.67</c:v>
                </c:pt>
                <c:pt idx="55">
                  <c:v>110.01</c:v>
                </c:pt>
                <c:pt idx="56">
                  <c:v>110.46</c:v>
                </c:pt>
                <c:pt idx="57">
                  <c:v>110.49</c:v>
                </c:pt>
                <c:pt idx="58">
                  <c:v>109.69</c:v>
                </c:pt>
                <c:pt idx="59">
                  <c:v>110.14</c:v>
                </c:pt>
                <c:pt idx="60">
                  <c:v>110.58</c:v>
                </c:pt>
                <c:pt idx="61">
                  <c:v>110.19</c:v>
                </c:pt>
                <c:pt idx="62">
                  <c:v>109.52</c:v>
                </c:pt>
                <c:pt idx="63">
                  <c:v>109.68</c:v>
                </c:pt>
                <c:pt idx="64">
                  <c:v>109.78</c:v>
                </c:pt>
                <c:pt idx="65">
                  <c:v>110.39</c:v>
                </c:pt>
                <c:pt idx="66">
                  <c:v>110.68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83-437F-987F-373BBA1A7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0793071"/>
        <c:axId val="1590784335"/>
      </c:lineChart>
      <c:catAx>
        <c:axId val="1590793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0784335"/>
        <c:crosses val="autoZero"/>
        <c:auto val="1"/>
        <c:lblAlgn val="ctr"/>
        <c:lblOffset val="100"/>
        <c:noMultiLvlLbl val="0"/>
      </c:catAx>
      <c:valAx>
        <c:axId val="159078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079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'CurrExchange'!$C$2</c:f>
              <c:strCache>
                <c:ptCount val="1"/>
                <c:pt idx="0">
                  <c:v>USD-JPY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'CurrExchange'!$A$2:$A$248</c:f>
              <c:numCache>
                <c:formatCode>m/d/yyyy</c:formatCode>
                <c:ptCount val="247"/>
                <c:pt idx="0">
                  <c:v>43110</c:v>
                </c:pt>
                <c:pt idx="1">
                  <c:v>43111</c:v>
                </c:pt>
                <c:pt idx="2">
                  <c:v>43112</c:v>
                </c:pt>
                <c:pt idx="3">
                  <c:v>43113</c:v>
                </c:pt>
                <c:pt idx="4">
                  <c:v>43116</c:v>
                </c:pt>
                <c:pt idx="5">
                  <c:v>43117</c:v>
                </c:pt>
                <c:pt idx="6">
                  <c:v>43118</c:v>
                </c:pt>
                <c:pt idx="7">
                  <c:v>43119</c:v>
                </c:pt>
                <c:pt idx="8">
                  <c:v>43120</c:v>
                </c:pt>
                <c:pt idx="9">
                  <c:v>43123</c:v>
                </c:pt>
                <c:pt idx="10">
                  <c:v>43124</c:v>
                </c:pt>
                <c:pt idx="11">
                  <c:v>43125</c:v>
                </c:pt>
                <c:pt idx="12">
                  <c:v>43126</c:v>
                </c:pt>
                <c:pt idx="13">
                  <c:v>43127</c:v>
                </c:pt>
                <c:pt idx="14">
                  <c:v>43130</c:v>
                </c:pt>
                <c:pt idx="15">
                  <c:v>43131</c:v>
                </c:pt>
                <c:pt idx="16">
                  <c:v>43132</c:v>
                </c:pt>
                <c:pt idx="17">
                  <c:v>43133</c:v>
                </c:pt>
                <c:pt idx="18">
                  <c:v>43134</c:v>
                </c:pt>
                <c:pt idx="19">
                  <c:v>43137</c:v>
                </c:pt>
                <c:pt idx="20">
                  <c:v>43138</c:v>
                </c:pt>
                <c:pt idx="21">
                  <c:v>43139</c:v>
                </c:pt>
                <c:pt idx="22">
                  <c:v>43140</c:v>
                </c:pt>
                <c:pt idx="23">
                  <c:v>43141</c:v>
                </c:pt>
                <c:pt idx="24">
                  <c:v>43144</c:v>
                </c:pt>
                <c:pt idx="25">
                  <c:v>43145</c:v>
                </c:pt>
                <c:pt idx="26">
                  <c:v>43146</c:v>
                </c:pt>
                <c:pt idx="27">
                  <c:v>43147</c:v>
                </c:pt>
                <c:pt idx="28">
                  <c:v>43148</c:v>
                </c:pt>
                <c:pt idx="29">
                  <c:v>43151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43158</c:v>
                </c:pt>
                <c:pt idx="34">
                  <c:v>43159</c:v>
                </c:pt>
                <c:pt idx="35">
                  <c:v>43160</c:v>
                </c:pt>
                <c:pt idx="36">
                  <c:v>43161</c:v>
                </c:pt>
                <c:pt idx="37">
                  <c:v>43162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43172</c:v>
                </c:pt>
                <c:pt idx="42">
                  <c:v>43173</c:v>
                </c:pt>
                <c:pt idx="43">
                  <c:v>43174</c:v>
                </c:pt>
                <c:pt idx="44">
                  <c:v>43175</c:v>
                </c:pt>
                <c:pt idx="45">
                  <c:v>43176</c:v>
                </c:pt>
                <c:pt idx="46">
                  <c:v>43179</c:v>
                </c:pt>
                <c:pt idx="47">
                  <c:v>43180</c:v>
                </c:pt>
                <c:pt idx="48">
                  <c:v>43181</c:v>
                </c:pt>
                <c:pt idx="49">
                  <c:v>43182</c:v>
                </c:pt>
                <c:pt idx="50">
                  <c:v>43183</c:v>
                </c:pt>
                <c:pt idx="51">
                  <c:v>43186</c:v>
                </c:pt>
                <c:pt idx="52">
                  <c:v>43187</c:v>
                </c:pt>
                <c:pt idx="53">
                  <c:v>43188</c:v>
                </c:pt>
                <c:pt idx="54">
                  <c:v>43189</c:v>
                </c:pt>
                <c:pt idx="55">
                  <c:v>43190</c:v>
                </c:pt>
                <c:pt idx="56">
                  <c:v>43193</c:v>
                </c:pt>
                <c:pt idx="57">
                  <c:v>43194</c:v>
                </c:pt>
                <c:pt idx="58">
                  <c:v>43195</c:v>
                </c:pt>
                <c:pt idx="59">
                  <c:v>43196</c:v>
                </c:pt>
                <c:pt idx="60">
                  <c:v>43197</c:v>
                </c:pt>
                <c:pt idx="61">
                  <c:v>43200</c:v>
                </c:pt>
                <c:pt idx="62">
                  <c:v>43201</c:v>
                </c:pt>
                <c:pt idx="63">
                  <c:v>43202</c:v>
                </c:pt>
                <c:pt idx="64">
                  <c:v>43203</c:v>
                </c:pt>
                <c:pt idx="65">
                  <c:v>43204</c:v>
                </c:pt>
                <c:pt idx="66">
                  <c:v>43207</c:v>
                </c:pt>
                <c:pt idx="67">
                  <c:v>43208</c:v>
                </c:pt>
                <c:pt idx="68">
                  <c:v>43209</c:v>
                </c:pt>
                <c:pt idx="69">
                  <c:v>43210</c:v>
                </c:pt>
                <c:pt idx="70">
                  <c:v>43211</c:v>
                </c:pt>
                <c:pt idx="71">
                  <c:v>43214</c:v>
                </c:pt>
                <c:pt idx="72">
                  <c:v>43215</c:v>
                </c:pt>
                <c:pt idx="73">
                  <c:v>43216</c:v>
                </c:pt>
                <c:pt idx="74">
                  <c:v>43217</c:v>
                </c:pt>
                <c:pt idx="75">
                  <c:v>43218</c:v>
                </c:pt>
                <c:pt idx="76">
                  <c:v>43219</c:v>
                </c:pt>
                <c:pt idx="77">
                  <c:v>43224</c:v>
                </c:pt>
                <c:pt idx="78">
                  <c:v>43225</c:v>
                </c:pt>
                <c:pt idx="79">
                  <c:v>43228</c:v>
                </c:pt>
                <c:pt idx="80">
                  <c:v>43229</c:v>
                </c:pt>
                <c:pt idx="81">
                  <c:v>43231</c:v>
                </c:pt>
                <c:pt idx="82">
                  <c:v>43232</c:v>
                </c:pt>
                <c:pt idx="83">
                  <c:v>43235</c:v>
                </c:pt>
                <c:pt idx="84">
                  <c:v>43236</c:v>
                </c:pt>
                <c:pt idx="85">
                  <c:v>43237</c:v>
                </c:pt>
                <c:pt idx="86">
                  <c:v>43238</c:v>
                </c:pt>
                <c:pt idx="87">
                  <c:v>43239</c:v>
                </c:pt>
                <c:pt idx="88">
                  <c:v>43242</c:v>
                </c:pt>
                <c:pt idx="89">
                  <c:v>43243</c:v>
                </c:pt>
                <c:pt idx="90">
                  <c:v>43244</c:v>
                </c:pt>
                <c:pt idx="91">
                  <c:v>43245</c:v>
                </c:pt>
                <c:pt idx="92">
                  <c:v>43246</c:v>
                </c:pt>
                <c:pt idx="93">
                  <c:v>43249</c:v>
                </c:pt>
                <c:pt idx="94">
                  <c:v>43250</c:v>
                </c:pt>
                <c:pt idx="95">
                  <c:v>43251</c:v>
                </c:pt>
                <c:pt idx="96">
                  <c:v>43252</c:v>
                </c:pt>
                <c:pt idx="97">
                  <c:v>43253</c:v>
                </c:pt>
                <c:pt idx="98">
                  <c:v>43256</c:v>
                </c:pt>
                <c:pt idx="99">
                  <c:v>43257</c:v>
                </c:pt>
                <c:pt idx="100">
                  <c:v>43258</c:v>
                </c:pt>
                <c:pt idx="101">
                  <c:v>43259</c:v>
                </c:pt>
                <c:pt idx="102">
                  <c:v>43260</c:v>
                </c:pt>
                <c:pt idx="103">
                  <c:v>43261</c:v>
                </c:pt>
                <c:pt idx="104">
                  <c:v>43265</c:v>
                </c:pt>
                <c:pt idx="105">
                  <c:v>43266</c:v>
                </c:pt>
                <c:pt idx="106">
                  <c:v>43267</c:v>
                </c:pt>
                <c:pt idx="107">
                  <c:v>43270</c:v>
                </c:pt>
                <c:pt idx="108">
                  <c:v>43271</c:v>
                </c:pt>
                <c:pt idx="109">
                  <c:v>43272</c:v>
                </c:pt>
                <c:pt idx="110">
                  <c:v>43273</c:v>
                </c:pt>
                <c:pt idx="111">
                  <c:v>43274</c:v>
                </c:pt>
                <c:pt idx="112">
                  <c:v>43277</c:v>
                </c:pt>
                <c:pt idx="113">
                  <c:v>43278</c:v>
                </c:pt>
                <c:pt idx="114">
                  <c:v>43279</c:v>
                </c:pt>
                <c:pt idx="115">
                  <c:v>43280</c:v>
                </c:pt>
                <c:pt idx="116">
                  <c:v>43281</c:v>
                </c:pt>
                <c:pt idx="117">
                  <c:v>43284</c:v>
                </c:pt>
                <c:pt idx="118">
                  <c:v>43285</c:v>
                </c:pt>
                <c:pt idx="119">
                  <c:v>43286</c:v>
                </c:pt>
                <c:pt idx="120">
                  <c:v>43287</c:v>
                </c:pt>
                <c:pt idx="121">
                  <c:v>43288</c:v>
                </c:pt>
                <c:pt idx="122">
                  <c:v>43291</c:v>
                </c:pt>
                <c:pt idx="123">
                  <c:v>43292</c:v>
                </c:pt>
                <c:pt idx="124">
                  <c:v>43293</c:v>
                </c:pt>
                <c:pt idx="125">
                  <c:v>43294</c:v>
                </c:pt>
                <c:pt idx="126">
                  <c:v>43295</c:v>
                </c:pt>
                <c:pt idx="127">
                  <c:v>43298</c:v>
                </c:pt>
                <c:pt idx="128">
                  <c:v>43299</c:v>
                </c:pt>
                <c:pt idx="129">
                  <c:v>43300</c:v>
                </c:pt>
                <c:pt idx="130">
                  <c:v>43301</c:v>
                </c:pt>
                <c:pt idx="131">
                  <c:v>43302</c:v>
                </c:pt>
                <c:pt idx="132">
                  <c:v>43305</c:v>
                </c:pt>
                <c:pt idx="133">
                  <c:v>43306</c:v>
                </c:pt>
                <c:pt idx="134">
                  <c:v>43307</c:v>
                </c:pt>
                <c:pt idx="135">
                  <c:v>43308</c:v>
                </c:pt>
                <c:pt idx="136">
                  <c:v>43309</c:v>
                </c:pt>
                <c:pt idx="137">
                  <c:v>43312</c:v>
                </c:pt>
                <c:pt idx="138">
                  <c:v>43313</c:v>
                </c:pt>
                <c:pt idx="139">
                  <c:v>43314</c:v>
                </c:pt>
                <c:pt idx="140">
                  <c:v>43315</c:v>
                </c:pt>
                <c:pt idx="141">
                  <c:v>43316</c:v>
                </c:pt>
                <c:pt idx="142">
                  <c:v>43319</c:v>
                </c:pt>
                <c:pt idx="143">
                  <c:v>43320</c:v>
                </c:pt>
                <c:pt idx="144">
                  <c:v>43321</c:v>
                </c:pt>
                <c:pt idx="145">
                  <c:v>43322</c:v>
                </c:pt>
                <c:pt idx="146">
                  <c:v>43323</c:v>
                </c:pt>
                <c:pt idx="147">
                  <c:v>43326</c:v>
                </c:pt>
                <c:pt idx="148">
                  <c:v>43327</c:v>
                </c:pt>
                <c:pt idx="149">
                  <c:v>43328</c:v>
                </c:pt>
                <c:pt idx="150">
                  <c:v>43329</c:v>
                </c:pt>
                <c:pt idx="151">
                  <c:v>43330</c:v>
                </c:pt>
                <c:pt idx="152">
                  <c:v>43333</c:v>
                </c:pt>
                <c:pt idx="153">
                  <c:v>43334</c:v>
                </c:pt>
                <c:pt idx="154">
                  <c:v>43335</c:v>
                </c:pt>
                <c:pt idx="155">
                  <c:v>43336</c:v>
                </c:pt>
                <c:pt idx="156">
                  <c:v>43337</c:v>
                </c:pt>
                <c:pt idx="157">
                  <c:v>43340</c:v>
                </c:pt>
                <c:pt idx="158">
                  <c:v>43341</c:v>
                </c:pt>
                <c:pt idx="159">
                  <c:v>43342</c:v>
                </c:pt>
                <c:pt idx="160">
                  <c:v>43343</c:v>
                </c:pt>
                <c:pt idx="161">
                  <c:v>43344</c:v>
                </c:pt>
                <c:pt idx="162">
                  <c:v>43347</c:v>
                </c:pt>
                <c:pt idx="163">
                  <c:v>43348</c:v>
                </c:pt>
                <c:pt idx="164">
                  <c:v>43349</c:v>
                </c:pt>
                <c:pt idx="165">
                  <c:v>43350</c:v>
                </c:pt>
                <c:pt idx="166">
                  <c:v>43351</c:v>
                </c:pt>
                <c:pt idx="167">
                  <c:v>43354</c:v>
                </c:pt>
                <c:pt idx="168">
                  <c:v>43355</c:v>
                </c:pt>
                <c:pt idx="169">
                  <c:v>43356</c:v>
                </c:pt>
                <c:pt idx="170">
                  <c:v>43357</c:v>
                </c:pt>
                <c:pt idx="171">
                  <c:v>43358</c:v>
                </c:pt>
                <c:pt idx="172">
                  <c:v>43361</c:v>
                </c:pt>
                <c:pt idx="173">
                  <c:v>43362</c:v>
                </c:pt>
                <c:pt idx="174">
                  <c:v>43363</c:v>
                </c:pt>
                <c:pt idx="175">
                  <c:v>43364</c:v>
                </c:pt>
                <c:pt idx="176">
                  <c:v>43365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43372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43379</c:v>
                </c:pt>
                <c:pt idx="187">
                  <c:v>43382</c:v>
                </c:pt>
                <c:pt idx="188">
                  <c:v>43383</c:v>
                </c:pt>
                <c:pt idx="189">
                  <c:v>43384</c:v>
                </c:pt>
                <c:pt idx="190">
                  <c:v>43385</c:v>
                </c:pt>
                <c:pt idx="191">
                  <c:v>43386</c:v>
                </c:pt>
                <c:pt idx="192">
                  <c:v>43389</c:v>
                </c:pt>
                <c:pt idx="193">
                  <c:v>43390</c:v>
                </c:pt>
                <c:pt idx="194">
                  <c:v>43391</c:v>
                </c:pt>
                <c:pt idx="195">
                  <c:v>43392</c:v>
                </c:pt>
                <c:pt idx="196">
                  <c:v>43393</c:v>
                </c:pt>
                <c:pt idx="197">
                  <c:v>43396</c:v>
                </c:pt>
                <c:pt idx="198">
                  <c:v>43397</c:v>
                </c:pt>
                <c:pt idx="199">
                  <c:v>43398</c:v>
                </c:pt>
                <c:pt idx="200">
                  <c:v>43399</c:v>
                </c:pt>
                <c:pt idx="201">
                  <c:v>43400</c:v>
                </c:pt>
                <c:pt idx="202">
                  <c:v>43403</c:v>
                </c:pt>
                <c:pt idx="203">
                  <c:v>43404</c:v>
                </c:pt>
                <c:pt idx="204">
                  <c:v>43405</c:v>
                </c:pt>
                <c:pt idx="205">
                  <c:v>43406</c:v>
                </c:pt>
                <c:pt idx="206">
                  <c:v>43407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43414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43421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43428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43435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43442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43449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43456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43463</c:v>
                </c:pt>
                <c:pt idx="246">
                  <c:v>43464</c:v>
                </c:pt>
              </c:numCache>
            </c:numRef>
          </c:cat>
          <c:val>
            <c:numRef>
              <c:f>'CurrExchange'!$B$2:$B$17</c:f>
              <c:numCache>
                <c:formatCode>General</c:formatCode>
                <c:ptCount val="16"/>
                <c:pt idx="0">
                  <c:v>112.86</c:v>
                </c:pt>
                <c:pt idx="1">
                  <c:v>111.93</c:v>
                </c:pt>
                <c:pt idx="2">
                  <c:v>111.69</c:v>
                </c:pt>
                <c:pt idx="3">
                  <c:v>111.26</c:v>
                </c:pt>
                <c:pt idx="4">
                  <c:v>110.7</c:v>
                </c:pt>
                <c:pt idx="5">
                  <c:v>110.71</c:v>
                </c:pt>
                <c:pt idx="6">
                  <c:v>110.76</c:v>
                </c:pt>
                <c:pt idx="7">
                  <c:v>111.21</c:v>
                </c:pt>
                <c:pt idx="8">
                  <c:v>110.58</c:v>
                </c:pt>
                <c:pt idx="9">
                  <c:v>110.85</c:v>
                </c:pt>
                <c:pt idx="10">
                  <c:v>110.95</c:v>
                </c:pt>
                <c:pt idx="11">
                  <c:v>109.87</c:v>
                </c:pt>
                <c:pt idx="12">
                  <c:v>109.12</c:v>
                </c:pt>
                <c:pt idx="13">
                  <c:v>108.98</c:v>
                </c:pt>
                <c:pt idx="14">
                  <c:v>108.97</c:v>
                </c:pt>
                <c:pt idx="15">
                  <c:v>108.76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48-41DD-BB03-AE4355368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9556480"/>
        <c:axId val="1349576448"/>
      </c:lineChart>
      <c:dateAx>
        <c:axId val="1349556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576448"/>
        <c:crosses val="autoZero"/>
        <c:auto val="1"/>
        <c:lblOffset val="100"/>
        <c:baseTimeUnit val="days"/>
        <c:majorUnit val="2"/>
        <c:majorTimeUnit val="days"/>
      </c:dateAx>
      <c:valAx>
        <c:axId val="134957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55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'CurrExchange'!$C$2</c:f>
              <c:strCache>
                <c:ptCount val="1"/>
                <c:pt idx="0">
                  <c:v>USD-JPY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'CurrExchange'!$A$58:$A$78</c:f>
              <c:numCache>
                <c:formatCode>m/d/yyyy</c:formatCode>
                <c:ptCount val="21"/>
                <c:pt idx="0">
                  <c:v>43193</c:v>
                </c:pt>
                <c:pt idx="1">
                  <c:v>43194</c:v>
                </c:pt>
                <c:pt idx="2">
                  <c:v>43195</c:v>
                </c:pt>
                <c:pt idx="3">
                  <c:v>43196</c:v>
                </c:pt>
                <c:pt idx="4">
                  <c:v>43197</c:v>
                </c:pt>
                <c:pt idx="5">
                  <c:v>43200</c:v>
                </c:pt>
                <c:pt idx="6">
                  <c:v>43201</c:v>
                </c:pt>
                <c:pt idx="7">
                  <c:v>43202</c:v>
                </c:pt>
                <c:pt idx="8">
                  <c:v>43203</c:v>
                </c:pt>
                <c:pt idx="9">
                  <c:v>43204</c:v>
                </c:pt>
                <c:pt idx="10">
                  <c:v>43207</c:v>
                </c:pt>
                <c:pt idx="11">
                  <c:v>43208</c:v>
                </c:pt>
                <c:pt idx="12">
                  <c:v>43209</c:v>
                </c:pt>
                <c:pt idx="13">
                  <c:v>43210</c:v>
                </c:pt>
                <c:pt idx="14">
                  <c:v>43211</c:v>
                </c:pt>
                <c:pt idx="15">
                  <c:v>43214</c:v>
                </c:pt>
                <c:pt idx="16">
                  <c:v>43215</c:v>
                </c:pt>
                <c:pt idx="17">
                  <c:v>43216</c:v>
                </c:pt>
                <c:pt idx="18">
                  <c:v>43217</c:v>
                </c:pt>
                <c:pt idx="19">
                  <c:v>43218</c:v>
                </c:pt>
                <c:pt idx="20">
                  <c:v>43219</c:v>
                </c:pt>
              </c:numCache>
            </c:numRef>
          </c:cat>
          <c:val>
            <c:numRef>
              <c:f>'CurrExchange'!$B$58:$B$78</c:f>
              <c:numCache>
                <c:formatCode>General</c:formatCode>
                <c:ptCount val="21"/>
                <c:pt idx="0">
                  <c:v>106.3</c:v>
                </c:pt>
                <c:pt idx="1">
                  <c:v>106.14</c:v>
                </c:pt>
                <c:pt idx="2">
                  <c:v>106.09</c:v>
                </c:pt>
                <c:pt idx="3">
                  <c:v>107.08</c:v>
                </c:pt>
                <c:pt idx="4">
                  <c:v>107.41</c:v>
                </c:pt>
                <c:pt idx="5">
                  <c:v>107.15</c:v>
                </c:pt>
                <c:pt idx="6">
                  <c:v>107.05</c:v>
                </c:pt>
                <c:pt idx="7">
                  <c:v>106.91</c:v>
                </c:pt>
                <c:pt idx="8">
                  <c:v>106.9</c:v>
                </c:pt>
                <c:pt idx="9">
                  <c:v>107.62</c:v>
                </c:pt>
                <c:pt idx="10">
                  <c:v>107.22</c:v>
                </c:pt>
                <c:pt idx="11">
                  <c:v>106.99</c:v>
                </c:pt>
                <c:pt idx="12">
                  <c:v>107.33</c:v>
                </c:pt>
                <c:pt idx="13">
                  <c:v>107.35</c:v>
                </c:pt>
                <c:pt idx="14">
                  <c:v>107.56</c:v>
                </c:pt>
                <c:pt idx="15">
                  <c:v>107.87</c:v>
                </c:pt>
                <c:pt idx="16">
                  <c:v>108.83</c:v>
                </c:pt>
                <c:pt idx="17">
                  <c:v>109.22</c:v>
                </c:pt>
                <c:pt idx="18">
                  <c:v>109.34</c:v>
                </c:pt>
                <c:pt idx="19">
                  <c:v>109.33</c:v>
                </c:pt>
                <c:pt idx="20">
                  <c:v>109.04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7-4091-A0B9-9F66FE91F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8560"/>
        <c:axId val="657744"/>
      </c:lineChart>
      <c:dateAx>
        <c:axId val="66856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7744"/>
        <c:crosses val="autoZero"/>
        <c:auto val="1"/>
        <c:lblOffset val="100"/>
        <c:baseTimeUnit val="days"/>
        <c:majorUnit val="2"/>
        <c:majorTimeUnit val="days"/>
      </c:dateAx>
      <c:valAx>
        <c:axId val="65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[Лекция.xlsx]CurrExchange!Сводная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Среднемесячные значения</a:t>
            </a:r>
            <a:r>
              <a:rPr lang="ru-RU" baseline="0"/>
              <a:t> обменного курса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'CurrExchange'!$F$19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2945170844470123E-3"/>
                  <c:y val="0.200857441974633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strRef>
              <c:f>'CurrExchange'!$E$20:$E$31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'CurrExchange'!$F$20:$F$31</c:f>
              <c:numCache>
                <c:formatCode>0.00</c:formatCode>
                <c:ptCount val="12"/>
                <c:pt idx="0">
                  <c:v>110.57500000000002</c:v>
                </c:pt>
                <c:pt idx="1">
                  <c:v>108.07210526315791</c:v>
                </c:pt>
                <c:pt idx="2">
                  <c:v>106.06142857142855</c:v>
                </c:pt>
                <c:pt idx="3">
                  <c:v>107.55857142857141</c:v>
                </c:pt>
                <c:pt idx="4">
                  <c:v>109.76052631578949</c:v>
                </c:pt>
                <c:pt idx="5">
                  <c:v>109.92761904761905</c:v>
                </c:pt>
                <c:pt idx="6">
                  <c:v>111.46523809523809</c:v>
                </c:pt>
                <c:pt idx="7">
                  <c:v>111.07869565217393</c:v>
                </c:pt>
                <c:pt idx="8">
                  <c:v>111.88952380952382</c:v>
                </c:pt>
                <c:pt idx="9">
                  <c:v>112.82590909090909</c:v>
                </c:pt>
                <c:pt idx="10">
                  <c:v>113.32142857142857</c:v>
                </c:pt>
                <c:pt idx="11">
                  <c:v>112.25681818181819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1D-4DBB-86B3-CFB42B5F3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193792"/>
        <c:axId val="442194208"/>
      </c:lineChart>
      <c:catAx>
        <c:axId val="44219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194208"/>
        <c:crosses val="autoZero"/>
        <c:auto val="1"/>
        <c:lblAlgn val="ctr"/>
        <c:lblOffset val="100"/>
        <c:noMultiLvlLbl val="0"/>
      </c:catAx>
      <c:valAx>
        <c:axId val="44219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19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'CurrExchange'!$F$36</c:f>
              <c:strCache>
                <c:ptCount val="1"/>
                <c:pt idx="0">
                  <c:v>USD-JPY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'CurrExchange'!$E$37:$E$48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'CurrExchange'!$F$37:$F$48</c:f>
              <c:numCache>
                <c:formatCode>0.00</c:formatCode>
                <c:ptCount val="12"/>
                <c:pt idx="0">
                  <c:v>110.57500000000002</c:v>
                </c:pt>
                <c:pt idx="1">
                  <c:v>108.07210526315791</c:v>
                </c:pt>
                <c:pt idx="2">
                  <c:v>106.06142857142855</c:v>
                </c:pt>
                <c:pt idx="3">
                  <c:v>107.55857142857141</c:v>
                </c:pt>
                <c:pt idx="4">
                  <c:v>109.76052631578949</c:v>
                </c:pt>
                <c:pt idx="5">
                  <c:v>109.92761904761905</c:v>
                </c:pt>
                <c:pt idx="6">
                  <c:v>111.46523809523809</c:v>
                </c:pt>
                <c:pt idx="7">
                  <c:v>111.07869565217393</c:v>
                </c:pt>
                <c:pt idx="8">
                  <c:v>111.88952380952382</c:v>
                </c:pt>
                <c:pt idx="9">
                  <c:v>112.82590909090909</c:v>
                </c:pt>
                <c:pt idx="10">
                  <c:v>113.32142857142857</c:v>
                </c:pt>
                <c:pt idx="11">
                  <c:v>112.25681818181819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C-469F-AEA4-7EEC2F1555C1}"/>
            </c:ext>
          </c:extLst>
        </c:ser>
        <c:ser>
          <c:idx val="1"/>
          <c:order val="1"/>
          <c:tx>
            <c:strRef>
              <c:f>'CurrExchange'!$G$36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'CurrExchange'!$E$37:$E$48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cat>
          <c:val>
            <c:numRef>
              <c:f>'CurrExchange'!$G$37:$G$48</c:f>
              <c:numCache>
                <c:formatCode>0.00</c:formatCode>
                <c:ptCount val="12"/>
                <c:pt idx="0">
                  <c:v>109.32355263157896</c:v>
                </c:pt>
                <c:pt idx="1">
                  <c:v>108.57268421052632</c:v>
                </c:pt>
                <c:pt idx="2">
                  <c:v>107.06593082706766</c:v>
                </c:pt>
                <c:pt idx="3">
                  <c:v>107.36151518796991</c:v>
                </c:pt>
                <c:pt idx="4">
                  <c:v>108.80092186466166</c:v>
                </c:pt>
                <c:pt idx="5">
                  <c:v>109.47694017443609</c:v>
                </c:pt>
                <c:pt idx="6">
                  <c:v>110.66991892691729</c:v>
                </c:pt>
                <c:pt idx="7">
                  <c:v>110.91518496207127</c:v>
                </c:pt>
                <c:pt idx="8">
                  <c:v>111.49978827054281</c:v>
                </c:pt>
                <c:pt idx="9">
                  <c:v>112.29546076276259</c:v>
                </c:pt>
                <c:pt idx="10">
                  <c:v>112.91104144796216</c:v>
                </c:pt>
                <c:pt idx="11">
                  <c:v>112.51850748827579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DC-469F-AEA4-7EEC2F155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5609936"/>
        <c:axId val="1255589552"/>
      </c:lineChart>
      <c:catAx>
        <c:axId val="125560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5589552"/>
        <c:crosses val="autoZero"/>
        <c:auto val="1"/>
        <c:lblAlgn val="ctr"/>
        <c:lblOffset val="100"/>
        <c:noMultiLvlLbl val="0"/>
      </c:catAx>
      <c:valAx>
        <c:axId val="125558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560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'CurrExchange'!$E$56:$E$59</c:f>
              <c:strCache>
                <c:ptCount val="4"/>
                <c:pt idx="0">
                  <c:v>-1,004502256</c:v>
                </c:pt>
                <c:pt idx="1">
                  <c:v>-0,252519048</c:v>
                </c:pt>
                <c:pt idx="2">
                  <c:v>0,49946416</c:v>
                </c:pt>
                <c:pt idx="3">
                  <c:v>Еще</c:v>
                </c:pt>
              </c:strCache>
            </c:strRef>
          </c:cat>
          <c:val>
            <c:numRef>
              <c:f>'CurrExchange'!$F$56:$F$59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0-4109-9437-DB920E4E2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6102848"/>
        <c:axId val="1136107008"/>
      </c:barChart>
      <c:catAx>
        <c:axId val="1136102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6107008"/>
        <c:crosses val="autoZero"/>
        <c:auto val="1"/>
        <c:lblAlgn val="ctr"/>
        <c:lblOffset val="100"/>
        <c:noMultiLvlLbl val="0"/>
      </c:catAx>
      <c:valAx>
        <c:axId val="1136107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6102848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5887267822865413E-2"/>
          <c:y val="0.16161220043572985"/>
          <c:w val="0.85987676913520139"/>
          <c:h val="0.79045751633986927"/>
        </c:manualLayout>
      </c:layout>
      <c:scatterChart>
        <c:scatterStyle val="lineMarker"/>
        <c:varyColors val="0"/>
        <c:ser>
          <c:idx val="0"/>
          <c:order val="0"/>
          <c:tx>
            <c:strRef>
              <c:f>Компоненты!$C$62</c:f>
              <c:strCache>
                <c:ptCount val="1"/>
                <c:pt idx="0">
                  <c:v>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Компоненты!$B$63:$B$86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Компоненты!$C$63:$C$86</c:f>
              <c:numCache>
                <c:formatCode>General</c:formatCode>
                <c:ptCount val="24"/>
                <c:pt idx="0">
                  <c:v>1.0365965719525152</c:v>
                </c:pt>
                <c:pt idx="1">
                  <c:v>0.55786357647050266</c:v>
                </c:pt>
                <c:pt idx="2">
                  <c:v>0</c:v>
                </c:pt>
                <c:pt idx="3">
                  <c:v>0</c:v>
                </c:pt>
                <c:pt idx="4">
                  <c:v>-0.49558371609632701</c:v>
                </c:pt>
                <c:pt idx="5">
                  <c:v>0.45018218132834087</c:v>
                </c:pt>
                <c:pt idx="6">
                  <c:v>-0.86986826992043276</c:v>
                </c:pt>
                <c:pt idx="7">
                  <c:v>0.62804209462985816</c:v>
                </c:pt>
                <c:pt idx="8">
                  <c:v>-2.253550604705199</c:v>
                </c:pt>
                <c:pt idx="9">
                  <c:v>1.3420844707887238</c:v>
                </c:pt>
                <c:pt idx="10">
                  <c:v>1.5331090800875784</c:v>
                </c:pt>
                <c:pt idx="11">
                  <c:v>-0.59507259182682981</c:v>
                </c:pt>
                <c:pt idx="12">
                  <c:v>-9.3718865623186431E-2</c:v>
                </c:pt>
                <c:pt idx="13">
                  <c:v>1.2848636421262998</c:v>
                </c:pt>
                <c:pt idx="14">
                  <c:v>1.1049999695033961</c:v>
                </c:pt>
                <c:pt idx="15">
                  <c:v>-2.9883237638928684</c:v>
                </c:pt>
                <c:pt idx="16">
                  <c:v>0.31998627196472029</c:v>
                </c:pt>
                <c:pt idx="17">
                  <c:v>-2.6642952863584961</c:v>
                </c:pt>
                <c:pt idx="18">
                  <c:v>0</c:v>
                </c:pt>
                <c:pt idx="19">
                  <c:v>-1.6381497006807106</c:v>
                </c:pt>
                <c:pt idx="20">
                  <c:v>-0.3007039802478223</c:v>
                </c:pt>
                <c:pt idx="21">
                  <c:v>0.68011069929211376</c:v>
                </c:pt>
                <c:pt idx="22">
                  <c:v>0.94282212235849217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02-4245-8300-A31DE6146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210815"/>
        <c:axId val="948218303"/>
      </c:scatterChart>
      <c:valAx>
        <c:axId val="948210815"/>
        <c:scaling>
          <c:orientation val="minMax"/>
          <c:max val="2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8218303"/>
        <c:crosses val="autoZero"/>
        <c:crossBetween val="midCat"/>
      </c:valAx>
      <c:valAx>
        <c:axId val="9482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8210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Компоненты!$C$6</c:f>
              <c:strCache>
                <c:ptCount val="1"/>
                <c:pt idx="0">
                  <c:v>f(t)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5909448818897637E-2"/>
                  <c:y val="-0.313708442694663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Компоненты!$B$7:$B$30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Компоненты!$C$7:$C$30</c:f>
              <c:numCache>
                <c:formatCode>General</c:formatCode>
                <c:ptCount val="24"/>
                <c:pt idx="0">
                  <c:v>8</c:v>
                </c:pt>
                <c:pt idx="1">
                  <c:v>7.6</c:v>
                </c:pt>
                <c:pt idx="2">
                  <c:v>7.2</c:v>
                </c:pt>
                <c:pt idx="3">
                  <c:v>6.8</c:v>
                </c:pt>
                <c:pt idx="4">
                  <c:v>6.4</c:v>
                </c:pt>
                <c:pt idx="5">
                  <c:v>6</c:v>
                </c:pt>
                <c:pt idx="6">
                  <c:v>5.6</c:v>
                </c:pt>
                <c:pt idx="7">
                  <c:v>5.1999999999999993</c:v>
                </c:pt>
                <c:pt idx="8">
                  <c:v>4.8</c:v>
                </c:pt>
                <c:pt idx="9">
                  <c:v>4.4000000000000004</c:v>
                </c:pt>
                <c:pt idx="10">
                  <c:v>4</c:v>
                </c:pt>
                <c:pt idx="11">
                  <c:v>3.5999999999999996</c:v>
                </c:pt>
                <c:pt idx="12">
                  <c:v>3.1999999999999993</c:v>
                </c:pt>
                <c:pt idx="13">
                  <c:v>2.8</c:v>
                </c:pt>
                <c:pt idx="14">
                  <c:v>2.3999999999999995</c:v>
                </c:pt>
                <c:pt idx="15">
                  <c:v>2</c:v>
                </c:pt>
                <c:pt idx="16">
                  <c:v>1.5999999999999996</c:v>
                </c:pt>
                <c:pt idx="17">
                  <c:v>1.1999999999999993</c:v>
                </c:pt>
                <c:pt idx="18">
                  <c:v>0.79999999999999982</c:v>
                </c:pt>
                <c:pt idx="19">
                  <c:v>0.39999999999999947</c:v>
                </c:pt>
                <c:pt idx="20">
                  <c:v>0</c:v>
                </c:pt>
                <c:pt idx="21">
                  <c:v>-0.40000000000000036</c:v>
                </c:pt>
                <c:pt idx="22">
                  <c:v>-0.80000000000000071</c:v>
                </c:pt>
                <c:pt idx="23">
                  <c:v>-1.2000000000000011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F5-4015-BE13-301A43BD2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181519"/>
        <c:axId val="1559192335"/>
      </c:scatterChart>
      <c:valAx>
        <c:axId val="155918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9192335"/>
        <c:crosses val="autoZero"/>
        <c:crossBetween val="midCat"/>
      </c:valAx>
      <c:valAx>
        <c:axId val="155919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918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Компоненты!$C$34</c:f>
              <c:strCache>
                <c:ptCount val="1"/>
                <c:pt idx="0">
                  <c:v>c(t)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Компоненты!$B$35:$B$58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Компоненты!$C$35:$C$58</c:f>
              <c:numCache>
                <c:formatCode>General</c:formatCode>
                <c:ptCount val="24"/>
                <c:pt idx="0">
                  <c:v>8</c:v>
                </c:pt>
                <c:pt idx="1">
                  <c:v>9</c:v>
                </c:pt>
                <c:pt idx="2">
                  <c:v>15</c:v>
                </c:pt>
                <c:pt idx="3">
                  <c:v>9</c:v>
                </c:pt>
                <c:pt idx="4">
                  <c:v>3</c:v>
                </c:pt>
                <c:pt idx="5">
                  <c:v>8</c:v>
                </c:pt>
                <c:pt idx="6">
                  <c:v>9</c:v>
                </c:pt>
                <c:pt idx="7">
                  <c:v>15</c:v>
                </c:pt>
                <c:pt idx="8">
                  <c:v>9</c:v>
                </c:pt>
                <c:pt idx="9">
                  <c:v>3</c:v>
                </c:pt>
                <c:pt idx="10">
                  <c:v>8</c:v>
                </c:pt>
                <c:pt idx="11">
                  <c:v>9</c:v>
                </c:pt>
                <c:pt idx="12">
                  <c:v>15</c:v>
                </c:pt>
                <c:pt idx="13">
                  <c:v>9</c:v>
                </c:pt>
                <c:pt idx="14">
                  <c:v>3</c:v>
                </c:pt>
                <c:pt idx="15">
                  <c:v>8</c:v>
                </c:pt>
                <c:pt idx="16">
                  <c:v>9</c:v>
                </c:pt>
                <c:pt idx="17">
                  <c:v>15</c:v>
                </c:pt>
                <c:pt idx="18">
                  <c:v>9</c:v>
                </c:pt>
                <c:pt idx="19">
                  <c:v>3</c:v>
                </c:pt>
                <c:pt idx="20">
                  <c:v>8</c:v>
                </c:pt>
                <c:pt idx="21">
                  <c:v>9</c:v>
                </c:pt>
                <c:pt idx="22">
                  <c:v>15</c:v>
                </c:pt>
                <c:pt idx="2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7D-4331-8785-6AB914CAE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346159"/>
        <c:axId val="1361348239"/>
      </c:scatterChart>
      <c:valAx>
        <c:axId val="136134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1348239"/>
        <c:crosses val="autoZero"/>
        <c:crossBetween val="midCat"/>
      </c:valAx>
      <c:valAx>
        <c:axId val="136134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134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Компоненты!$C$91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Компоненты!$B$92:$B$115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Компоненты!$C$92:$C$115</c:f>
              <c:numCache>
                <c:formatCode>General</c:formatCode>
                <c:ptCount val="24"/>
                <c:pt idx="0">
                  <c:v>17.036596571952515</c:v>
                </c:pt>
                <c:pt idx="1">
                  <c:v>17.157863576470504</c:v>
                </c:pt>
                <c:pt idx="2">
                  <c:v>22.2</c:v>
                </c:pt>
                <c:pt idx="3">
                  <c:v>15.8</c:v>
                </c:pt>
                <c:pt idx="4">
                  <c:v>8.9044162839036733</c:v>
                </c:pt>
                <c:pt idx="5">
                  <c:v>14.450182181328341</c:v>
                </c:pt>
                <c:pt idx="6">
                  <c:v>13.730131730079567</c:v>
                </c:pt>
                <c:pt idx="7">
                  <c:v>20.828042094629858</c:v>
                </c:pt>
                <c:pt idx="8">
                  <c:v>11.546449395294802</c:v>
                </c:pt>
                <c:pt idx="9">
                  <c:v>8.7420844707887237</c:v>
                </c:pt>
                <c:pt idx="10">
                  <c:v>13.533109080087579</c:v>
                </c:pt>
                <c:pt idx="11">
                  <c:v>12.00492740817317</c:v>
                </c:pt>
                <c:pt idx="12">
                  <c:v>18.106281134376815</c:v>
                </c:pt>
                <c:pt idx="13">
                  <c:v>13.084863642126301</c:v>
                </c:pt>
                <c:pt idx="14">
                  <c:v>6.5049999695033955</c:v>
                </c:pt>
                <c:pt idx="15">
                  <c:v>7.0116762361071316</c:v>
                </c:pt>
                <c:pt idx="16">
                  <c:v>10.919986271964721</c:v>
                </c:pt>
                <c:pt idx="17">
                  <c:v>13.535704713641504</c:v>
                </c:pt>
                <c:pt idx="18">
                  <c:v>9.8000000000000007</c:v>
                </c:pt>
                <c:pt idx="19">
                  <c:v>1.7618502993192888</c:v>
                </c:pt>
                <c:pt idx="20">
                  <c:v>7.699296019752178</c:v>
                </c:pt>
                <c:pt idx="21">
                  <c:v>9.2801106992921127</c:v>
                </c:pt>
                <c:pt idx="22">
                  <c:v>15.142822122358492</c:v>
                </c:pt>
                <c:pt idx="23">
                  <c:v>7.7999999999999989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C8-4BA0-AA4F-6F22964B6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764383"/>
        <c:axId val="1537373951"/>
      </c:scatterChart>
      <c:valAx>
        <c:axId val="154876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7373951"/>
        <c:crosses val="autoZero"/>
        <c:crossBetween val="midCat"/>
      </c:valAx>
      <c:valAx>
        <c:axId val="15373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876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314325</xdr:colOff>
      <xdr:row>1</xdr:row>
      <xdr:rowOff>147637</xdr:rowOff>
    </xdr:from>
    <xdr:to>
      <xdr:col>26</xdr:col>
      <xdr:colOff>314325</xdr:colOff>
      <xdr:row>17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A1F27BD-33BA-4628-A171-F27A49F52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576262</xdr:colOff>
      <xdr:row>17</xdr:row>
      <xdr:rowOff>157161</xdr:rowOff>
    </xdr:from>
    <xdr:to>
      <xdr:col>21</xdr:col>
      <xdr:colOff>561975</xdr:colOff>
      <xdr:row>32</xdr:row>
      <xdr:rowOff>123824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76D3F8E-962C-4D0B-B9FA-586DDFA94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76200</xdr:colOff>
      <xdr:row>17</xdr:row>
      <xdr:rowOff>128586</xdr:rowOff>
    </xdr:from>
    <xdr:to>
      <xdr:col>29</xdr:col>
      <xdr:colOff>28575</xdr:colOff>
      <xdr:row>32</xdr:row>
      <xdr:rowOff>114299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866EAC1-9D76-439E-BF6D-E29555F5D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23</xdr:col>
      <xdr:colOff>457200</xdr:colOff>
      <xdr:row>36</xdr:row>
      <xdr:rowOff>0</xdr:rowOff>
    </xdr:from>
    <xdr:ext cx="1709571" cy="66922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DD2AE5E-F19A-4276-811C-8E1B276AF065}"/>
                </a:ext>
              </a:extLst>
            </xdr:cNvPr>
            <xdr:cNvSpPr txBox="1"/>
          </xdr:nvSpPr>
          <xdr:spPr>
            <a:xfrm>
              <a:off x="14592300" y="6858000"/>
              <a:ext cx="1709571" cy="66922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ru-RU" sz="1400" b="0" i="1">
                            <a:latin typeface="Cambria Math" panose="02040503050406030204" pitchFamily="18" charset="0"/>
                          </a:rPr>
                          <m:t>факт</m:t>
                        </m:r>
                      </m:sub>
                    </m:sSub>
                    <m:r>
                      <a:rPr lang="ru-RU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type m:val="skw"/>
                            <m:ctrlPr>
                              <a:rPr lang="ru-RU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ru-RU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𝑆𝑆</m:t>
                            </m:r>
                          </m:num>
                          <m:den>
                            <m:r>
                              <a:rPr lang="ru-RU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∆ЧСС</m:t>
                            </m:r>
                          </m:den>
                        </m:f>
                      </m:num>
                      <m:den>
                        <m:f>
                          <m:fPr>
                            <m:type m:val="skw"/>
                            <m:ctrlPr>
                              <a:rPr lang="ru-RU" sz="14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ru-RU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𝑆𝑆</m:t>
                                </m:r>
                              </m:e>
                              <m:sub>
                                <m:r>
                                  <a:rPr lang="ru-RU" sz="1400" b="0" i="1">
                                    <a:latin typeface="Cambria Math" panose="02040503050406030204" pitchFamily="18" charset="0"/>
                                  </a:rPr>
                                  <m:t>клм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ru-RU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ru-RU" sz="1400" b="0" i="1">
                                    <a:latin typeface="Cambria Math" panose="02040503050406030204" pitchFamily="18" charset="0"/>
                                  </a:rPr>
                                  <m:t>ЧСС</m:t>
                                </m:r>
                              </m:e>
                              <m:sub>
                                <m:r>
                                  <a:rPr lang="ru-RU" sz="1400" b="0" i="1">
                                    <a:latin typeface="Cambria Math" panose="02040503050406030204" pitchFamily="18" charset="0"/>
                                  </a:rPr>
                                  <m:t>клм</m:t>
                                </m:r>
                              </m:sub>
                            </m:sSub>
                          </m:den>
                        </m:f>
                      </m:den>
                    </m:f>
                  </m:oMath>
                </m:oMathPara>
              </a14:m>
              <a:endParaRPr lang="ru-RU" sz="14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DD2AE5E-F19A-4276-811C-8E1B276AF065}"/>
                </a:ext>
              </a:extLst>
            </xdr:cNvPr>
            <xdr:cNvSpPr txBox="1"/>
          </xdr:nvSpPr>
          <xdr:spPr>
            <a:xfrm>
              <a:off x="14592300" y="6858000"/>
              <a:ext cx="1709571" cy="66922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𝐹</a:t>
              </a:r>
              <a:r>
                <a:rPr lang="ru-RU" sz="1400" b="0" i="0">
                  <a:latin typeface="Cambria Math" panose="02040503050406030204" pitchFamily="18" charset="0"/>
                </a:rPr>
                <a:t>_факт=(</a:t>
              </a:r>
              <a:r>
                <a:rPr lang="ru-RU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𝑆𝑆</a:t>
              </a:r>
              <a:r>
                <a:rPr lang="ru-RU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⁄∆ЧСС)/(〖</a:t>
              </a:r>
              <a:r>
                <a:rPr lang="en-US" sz="1400" b="0" i="0">
                  <a:latin typeface="Cambria Math" panose="02040503050406030204" pitchFamily="18" charset="0"/>
                </a:rPr>
                <a:t>𝑆𝑆</a:t>
              </a:r>
              <a:r>
                <a:rPr lang="ru-RU" sz="1400" b="0" i="0">
                  <a:latin typeface="Cambria Math" panose="02040503050406030204" pitchFamily="18" charset="0"/>
                </a:rPr>
                <a:t>〗_клм⁄〖ЧСС〗_клм )</a:t>
              </a:r>
              <a:endParaRPr lang="ru-RU" sz="1400"/>
            </a:p>
          </xdr:txBody>
        </xdr:sp>
      </mc:Fallback>
    </mc:AlternateContent>
    <xdr:clientData/>
  </xdr:oneCellAnchor>
  <xdr:oneCellAnchor>
    <xdr:from>
      <xdr:col>23</xdr:col>
      <xdr:colOff>476250</xdr:colOff>
      <xdr:row>40</xdr:row>
      <xdr:rowOff>161925</xdr:rowOff>
    </xdr:from>
    <xdr:ext cx="1436996" cy="2191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56C7903-90AA-40B0-9D50-B9A82C7D807F}"/>
                </a:ext>
              </a:extLst>
            </xdr:cNvPr>
            <xdr:cNvSpPr txBox="1"/>
          </xdr:nvSpPr>
          <xdr:spPr>
            <a:xfrm>
              <a:off x="14611350" y="7781925"/>
              <a:ext cx="1436996" cy="219163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ru-RU" sz="1400" b="0" i="1">
                            <a:latin typeface="Cambria Math" panose="02040503050406030204" pitchFamily="18" charset="0"/>
                          </a:rPr>
                          <m:t>клм</m:t>
                        </m:r>
                      </m:sub>
                    </m:sSub>
                    <m:r>
                      <a:rPr lang="ru-RU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ru-RU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ru-RU" sz="14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56C7903-90AA-40B0-9D50-B9A82C7D807F}"/>
                </a:ext>
              </a:extLst>
            </xdr:cNvPr>
            <xdr:cNvSpPr txBox="1"/>
          </xdr:nvSpPr>
          <xdr:spPr>
            <a:xfrm>
              <a:off x="14611350" y="7781925"/>
              <a:ext cx="1436996" cy="219163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400" i="0">
                  <a:latin typeface="Cambria Math" panose="02040503050406030204" pitchFamily="18" charset="0"/>
                </a:rPr>
                <a:t>〖</a:t>
              </a:r>
              <a:r>
                <a:rPr lang="en-US" sz="1400" b="0" i="0">
                  <a:latin typeface="Cambria Math" panose="02040503050406030204" pitchFamily="18" charset="0"/>
                </a:rPr>
                <a:t>𝑆𝑆</a:t>
              </a:r>
              <a:r>
                <a:rPr lang="ru-RU" sz="1400" b="0" i="0">
                  <a:latin typeface="Cambria Math" panose="02040503050406030204" pitchFamily="18" charset="0"/>
                </a:rPr>
                <a:t>〗_клм=〖</a:t>
              </a:r>
              <a:r>
                <a:rPr lang="en-US" sz="1400" b="0" i="0">
                  <a:latin typeface="Cambria Math" panose="02040503050406030204" pitchFamily="18" charset="0"/>
                </a:rPr>
                <a:t>𝑆𝑆</a:t>
              </a:r>
              <a:r>
                <a:rPr lang="ru-RU" sz="1400" b="0" i="0">
                  <a:latin typeface="Cambria Math" panose="02040503050406030204" pitchFamily="18" charset="0"/>
                </a:rPr>
                <a:t>〗_</a:t>
              </a:r>
              <a:r>
                <a:rPr lang="en-US" sz="1400" b="0" i="0">
                  <a:latin typeface="Cambria Math" panose="02040503050406030204" pitchFamily="18" charset="0"/>
                </a:rPr>
                <a:t>1+〖𝑆𝑆〗_2</a:t>
              </a:r>
              <a:endParaRPr lang="ru-RU" sz="1400"/>
            </a:p>
          </xdr:txBody>
        </xdr:sp>
      </mc:Fallback>
    </mc:AlternateContent>
    <xdr:clientData/>
  </xdr:oneCellAnchor>
  <xdr:oneCellAnchor>
    <xdr:from>
      <xdr:col>23</xdr:col>
      <xdr:colOff>485775</xdr:colOff>
      <xdr:row>43</xdr:row>
      <xdr:rowOff>57150</xdr:rowOff>
    </xdr:from>
    <xdr:ext cx="2592248" cy="2191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9D1CA0B-3394-4E76-9B4D-4B9298FA516B}"/>
                </a:ext>
              </a:extLst>
            </xdr:cNvPr>
            <xdr:cNvSpPr txBox="1"/>
          </xdr:nvSpPr>
          <xdr:spPr>
            <a:xfrm>
              <a:off x="14620875" y="8248650"/>
              <a:ext cx="2592248" cy="219163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400" b="0" i="1">
                            <a:latin typeface="Cambria Math" panose="02040503050406030204" pitchFamily="18" charset="0"/>
                          </a:rPr>
                          <m:t>ЧСС</m:t>
                        </m:r>
                      </m:e>
                      <m:sub>
                        <m:r>
                          <a:rPr lang="ru-RU" sz="1400" b="0" i="1">
                            <a:latin typeface="Cambria Math" panose="02040503050406030204" pitchFamily="18" charset="0"/>
                          </a:rPr>
                          <m:t>клм</m:t>
                        </m:r>
                      </m:sub>
                    </m:sSub>
                    <m:r>
                      <a:rPr lang="ru-RU" sz="14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ru-RU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ru-RU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US" sz="1400" b="0" i="1">
                        <a:latin typeface="Cambria Math" panose="02040503050406030204" pitchFamily="18" charset="0"/>
                      </a:rPr>
                      <m:t>+(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ru-RU" sz="14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9D1CA0B-3394-4E76-9B4D-4B9298FA516B}"/>
                </a:ext>
              </a:extLst>
            </xdr:cNvPr>
            <xdr:cNvSpPr txBox="1"/>
          </xdr:nvSpPr>
          <xdr:spPr>
            <a:xfrm>
              <a:off x="14620875" y="8248650"/>
              <a:ext cx="2592248" cy="219163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400" i="0">
                  <a:latin typeface="Cambria Math" panose="02040503050406030204" pitchFamily="18" charset="0"/>
                </a:rPr>
                <a:t>〖</a:t>
              </a:r>
              <a:r>
                <a:rPr lang="ru-RU" sz="1400" b="0" i="0">
                  <a:latin typeface="Cambria Math" panose="02040503050406030204" pitchFamily="18" charset="0"/>
                </a:rPr>
                <a:t>ЧСС〗_клм=(</a:t>
              </a:r>
              <a:r>
                <a:rPr lang="en-US" sz="1400" b="0" i="0">
                  <a:latin typeface="Cambria Math" panose="02040503050406030204" pitchFamily="18" charset="0"/>
                </a:rPr>
                <a:t>𝑚</a:t>
              </a:r>
              <a:r>
                <a:rPr lang="ru-RU" sz="1400" b="0" i="0">
                  <a:latin typeface="Cambria Math" panose="02040503050406030204" pitchFamily="18" charset="0"/>
                </a:rPr>
                <a:t>_</a:t>
              </a:r>
              <a:r>
                <a:rPr lang="en-US" sz="1400" b="0" i="0">
                  <a:latin typeface="Cambria Math" panose="02040503050406030204" pitchFamily="18" charset="0"/>
                </a:rPr>
                <a:t>1−𝑘_1 )+(𝑚_2−𝑘_2)</a:t>
              </a:r>
              <a:endParaRPr lang="ru-RU" sz="1400"/>
            </a:p>
          </xdr:txBody>
        </xdr:sp>
      </mc:Fallback>
    </mc:AlternateContent>
    <xdr:clientData/>
  </xdr:oneCellAnchor>
  <xdr:oneCellAnchor>
    <xdr:from>
      <xdr:col>23</xdr:col>
      <xdr:colOff>476250</xdr:colOff>
      <xdr:row>45</xdr:row>
      <xdr:rowOff>95250</xdr:rowOff>
    </xdr:from>
    <xdr:ext cx="1476238" cy="2191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01F915C-7215-4CCD-8EE8-0BAC0FE7AA7E}"/>
                </a:ext>
              </a:extLst>
            </xdr:cNvPr>
            <xdr:cNvSpPr txBox="1"/>
          </xdr:nvSpPr>
          <xdr:spPr>
            <a:xfrm>
              <a:off x="14611350" y="8667750"/>
              <a:ext cx="1476238" cy="219163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𝑆𝑆</m:t>
                    </m:r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ru-RU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клм</m:t>
                        </m:r>
                      </m:sub>
                    </m:sSub>
                  </m:oMath>
                </m:oMathPara>
              </a14:m>
              <a:endParaRPr lang="ru-RU" sz="14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01F915C-7215-4CCD-8EE8-0BAC0FE7AA7E}"/>
                </a:ext>
              </a:extLst>
            </xdr:cNvPr>
            <xdr:cNvSpPr txBox="1"/>
          </xdr:nvSpPr>
          <xdr:spPr>
            <a:xfrm>
              <a:off x="14611350" y="8667750"/>
              <a:ext cx="1476238" cy="219163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𝑆𝑆=〖𝑆𝑆〗_3−〖𝑆𝑆〗_</a:t>
              </a:r>
              <a:r>
                <a:rPr lang="ru-RU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клм</a:t>
              </a:r>
              <a:endParaRPr lang="ru-RU" sz="1400"/>
            </a:p>
          </xdr:txBody>
        </xdr:sp>
      </mc:Fallback>
    </mc:AlternateContent>
    <xdr:clientData/>
  </xdr:oneCellAnchor>
  <xdr:oneCellAnchor>
    <xdr:from>
      <xdr:col>23</xdr:col>
      <xdr:colOff>476250</xdr:colOff>
      <xdr:row>47</xdr:row>
      <xdr:rowOff>180975</xdr:rowOff>
    </xdr:from>
    <xdr:ext cx="1861472" cy="2191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ED5BE37-A95E-47C0-A736-2002EE76D7F7}"/>
                </a:ext>
              </a:extLst>
            </xdr:cNvPr>
            <xdr:cNvSpPr txBox="1"/>
          </xdr:nvSpPr>
          <xdr:spPr>
            <a:xfrm>
              <a:off x="14611350" y="9134475"/>
              <a:ext cx="1861472" cy="219163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ru-RU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ЧСС=</m:t>
                    </m:r>
                    <m:sSub>
                      <m:sSubPr>
                        <m:ctrlPr>
                          <a:rPr lang="ru-RU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ЧСС</m:t>
                        </m:r>
                      </m:e>
                      <m:sub>
                        <m:r>
                          <a:rPr lang="ru-RU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ru-RU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ru-RU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ЧСС</m:t>
                        </m:r>
                      </m:e>
                      <m:sub>
                        <m:r>
                          <a:rPr lang="ru-RU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клм</m:t>
                        </m:r>
                      </m:sub>
                    </m:sSub>
                  </m:oMath>
                </m:oMathPara>
              </a14:m>
              <a:endParaRPr lang="ru-RU" sz="14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ED5BE37-A95E-47C0-A736-2002EE76D7F7}"/>
                </a:ext>
              </a:extLst>
            </xdr:cNvPr>
            <xdr:cNvSpPr txBox="1"/>
          </xdr:nvSpPr>
          <xdr:spPr>
            <a:xfrm>
              <a:off x="14611350" y="9134475"/>
              <a:ext cx="1861472" cy="219163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ru-RU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ЧСС=〖ЧСС〗_3−〖ЧСС〗_клм</a:t>
              </a:r>
              <a:endParaRPr lang="ru-RU" sz="14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71437</xdr:rowOff>
    </xdr:from>
    <xdr:to>
      <xdr:col>7</xdr:col>
      <xdr:colOff>590550</xdr:colOff>
      <xdr:row>15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E654B1F-599F-4511-9254-ED528B4DE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323850</xdr:colOff>
      <xdr:row>1</xdr:row>
      <xdr:rowOff>42861</xdr:rowOff>
    </xdr:from>
    <xdr:to>
      <xdr:col>15</xdr:col>
      <xdr:colOff>466725</xdr:colOff>
      <xdr:row>16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75DC064-38C4-4D32-B148-EDF56127A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400049</xdr:colOff>
      <xdr:row>17</xdr:row>
      <xdr:rowOff>52387</xdr:rowOff>
    </xdr:from>
    <xdr:to>
      <xdr:col>13</xdr:col>
      <xdr:colOff>447674</xdr:colOff>
      <xdr:row>33</xdr:row>
      <xdr:rowOff>47625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792596B-1885-4250-A10E-085D09C1F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352425</xdr:colOff>
      <xdr:row>34</xdr:row>
      <xdr:rowOff>180974</xdr:rowOff>
    </xdr:from>
    <xdr:to>
      <xdr:col>16</xdr:col>
      <xdr:colOff>38100</xdr:colOff>
      <xdr:row>48</xdr:row>
      <xdr:rowOff>47625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7B2DBF6-3BEC-4154-A4CB-33CEF8BD6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600075</xdr:colOff>
      <xdr:row>49</xdr:row>
      <xdr:rowOff>0</xdr:rowOff>
    </xdr:from>
    <xdr:to>
      <xdr:col>16</xdr:col>
      <xdr:colOff>28575</xdr:colOff>
      <xdr:row>63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9ABC892-892F-4898-9046-E16654387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5</xdr:col>
      <xdr:colOff>904875</xdr:colOff>
      <xdr:row>49</xdr:row>
      <xdr:rowOff>76200</xdr:rowOff>
    </xdr:from>
    <xdr:ext cx="3110980" cy="250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4F3CBF3-F0B7-4300-A514-F5409506C196}"/>
                </a:ext>
              </a:extLst>
            </xdr:cNvPr>
            <xdr:cNvSpPr txBox="1"/>
          </xdr:nvSpPr>
          <xdr:spPr>
            <a:xfrm>
              <a:off x="4543425" y="9410700"/>
              <a:ext cx="311098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𝑆</m:t>
                    </m:r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𝑥</m:t>
                    </m:r>
                    <m:d>
                      <m:dPr>
                        <m:ctrlP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+(1−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)∙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−1)</m:t>
                    </m:r>
                  </m:oMath>
                </m:oMathPara>
              </a14:m>
              <a:endParaRPr lang="ru-RU" sz="16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4F3CBF3-F0B7-4300-A514-F5409506C196}"/>
                </a:ext>
              </a:extLst>
            </xdr:cNvPr>
            <xdr:cNvSpPr txBox="1"/>
          </xdr:nvSpPr>
          <xdr:spPr>
            <a:xfrm>
              <a:off x="4543425" y="9410700"/>
              <a:ext cx="3110980" cy="250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𝑆(𝑡)=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𝛼∙𝑥(𝑡)+(1−𝛼)∙𝑆(𝑡−1)</a:t>
              </a:r>
              <a:endParaRPr lang="ru-RU" sz="16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62</xdr:row>
      <xdr:rowOff>104775</xdr:rowOff>
    </xdr:from>
    <xdr:to>
      <xdr:col>12</xdr:col>
      <xdr:colOff>142875</xdr:colOff>
      <xdr:row>77</xdr:row>
      <xdr:rowOff>161925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700EF46-5E96-4C7B-9406-B5B5C026D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133350</xdr:colOff>
      <xdr:row>5</xdr:row>
      <xdr:rowOff>104775</xdr:rowOff>
    </xdr:from>
    <xdr:to>
      <xdr:col>11</xdr:col>
      <xdr:colOff>438150</xdr:colOff>
      <xdr:row>19</xdr:row>
      <xdr:rowOff>180975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10BC1183-81CC-495A-925D-1A2448A31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419100</xdr:colOff>
      <xdr:row>33</xdr:row>
      <xdr:rowOff>95250</xdr:rowOff>
    </xdr:from>
    <xdr:to>
      <xdr:col>12</xdr:col>
      <xdr:colOff>114300</xdr:colOff>
      <xdr:row>47</xdr:row>
      <xdr:rowOff>171450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88AA725-9839-4C08-BB6A-81E9320BE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495301</xdr:colOff>
      <xdr:row>86</xdr:row>
      <xdr:rowOff>171450</xdr:rowOff>
    </xdr:from>
    <xdr:to>
      <xdr:col>12</xdr:col>
      <xdr:colOff>209550</xdr:colOff>
      <xdr:row>103</xdr:row>
      <xdr:rowOff>66676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CCE4D52D-F8EA-4482-877E-B9D400BFB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ихаил Смирнов" refreshedDate="44431.905677430557" createdVersion="7" refreshedVersion="7" minRefreshableVersion="3" recordCount="247" xr:uid="{CD236C56-B61D-42E4-88C1-D5156C652C21}">
  <cacheSource type="worksheet">
    <worksheetSource name="CurrExchange"/>
  </cacheSource>
  <cacheFields count="4">
    <cacheField name="Дата" numFmtId="14">
      <sharedItems containsSemiMixedTypes="0" containsNonDate="0" containsDate="1" containsString="0" minDate="2018-01-10T00:00:00" maxDate="2018-12-31T00:00:00" count="247">
        <d v="2018-01-10T00:00:00"/>
        <d v="2018-01-11T00:00:00"/>
        <d v="2018-01-12T00:00:00"/>
        <d v="2018-01-13T00:00:00"/>
        <d v="2018-01-16T00:00:00"/>
        <d v="2018-01-17T00:00:00"/>
        <d v="2018-01-18T00:00:00"/>
        <d v="2018-01-19T00:00:00"/>
        <d v="2018-01-20T00:00:00"/>
        <d v="2018-01-23T00:00:00"/>
        <d v="2018-01-24T00:00:00"/>
        <d v="2018-01-25T00:00:00"/>
        <d v="2018-01-26T00:00:00"/>
        <d v="2018-01-27T00:00:00"/>
        <d v="2018-01-30T00:00:00"/>
        <d v="2018-01-31T00:00:00"/>
        <d v="2018-02-01T00:00:00"/>
        <d v="2018-02-02T00:00:00"/>
        <d v="2018-02-03T00:00:00"/>
        <d v="2018-02-06T00:00:00"/>
        <d v="2018-02-07T00:00:00"/>
        <d v="2018-02-08T00:00:00"/>
        <d v="2018-02-09T00:00:00"/>
        <d v="2018-02-10T00:00:00"/>
        <d v="2018-02-13T00:00:00"/>
        <d v="2018-02-14T00:00:00"/>
        <d v="2018-02-15T00:00:00"/>
        <d v="2018-02-16T00:00:00"/>
        <d v="2018-02-17T00:00:00"/>
        <d v="2018-02-20T00:00:00"/>
        <d v="2018-02-21T00:00:00"/>
        <d v="2018-02-22T00:00:00"/>
        <d v="2018-02-23T00:00:00"/>
        <d v="2018-02-27T00:00:00"/>
        <d v="2018-02-28T00:00:00"/>
        <d v="2018-03-01T00:00:00"/>
        <d v="2018-03-02T00:00:00"/>
        <d v="2018-03-03T00:00:00"/>
        <d v="2018-03-06T00:00:00"/>
        <d v="2018-03-07T00:00:00"/>
        <d v="2018-03-08T00:00:00"/>
        <d v="2018-03-13T00:00:00"/>
        <d v="2018-03-14T00:00:00"/>
        <d v="2018-03-15T00:00:00"/>
        <d v="2018-03-16T00:00:00"/>
        <d v="2018-03-17T00:00:00"/>
        <d v="2018-03-20T00:00:00"/>
        <d v="2018-03-21T00:00:00"/>
        <d v="2018-03-22T00:00:00"/>
        <d v="2018-03-23T00:00:00"/>
        <d v="2018-03-24T00:00:00"/>
        <d v="2018-03-27T00:00:00"/>
        <d v="2018-03-28T00:00:00"/>
        <d v="2018-03-29T00:00:00"/>
        <d v="2018-03-30T00:00:00"/>
        <d v="2018-03-31T00:00:00"/>
        <d v="2018-04-03T00:00:00"/>
        <d v="2018-04-04T00:00:00"/>
        <d v="2018-04-05T00:00:00"/>
        <d v="2018-04-06T00:00:00"/>
        <d v="2018-04-07T00:00:00"/>
        <d v="2018-04-10T00:00:00"/>
        <d v="2018-04-11T00:00:00"/>
        <d v="2018-04-12T00:00:00"/>
        <d v="2018-04-13T00:00:00"/>
        <d v="2018-04-14T00:00:00"/>
        <d v="2018-04-17T00:00:00"/>
        <d v="2018-04-18T00:00:00"/>
        <d v="2018-04-19T00:00:00"/>
        <d v="2018-04-20T00:00:00"/>
        <d v="2018-04-21T00:00:00"/>
        <d v="2018-04-24T00:00:00"/>
        <d v="2018-04-25T00:00:00"/>
        <d v="2018-04-26T00:00:00"/>
        <d v="2018-04-27T00:00:00"/>
        <d v="2018-04-28T00:00:00"/>
        <d v="2018-04-29T00:00:00"/>
        <d v="2018-05-04T00:00:00"/>
        <d v="2018-05-05T00:00:00"/>
        <d v="2018-05-08T00:00:00"/>
        <d v="2018-05-09T00:00:00"/>
        <d v="2018-05-11T00:00:00"/>
        <d v="2018-05-12T00:00:00"/>
        <d v="2018-05-15T00:00:00"/>
        <d v="2018-05-16T00:00:00"/>
        <d v="2018-05-17T00:00:00"/>
        <d v="2018-05-18T00:00:00"/>
        <d v="2018-05-19T00:00:00"/>
        <d v="2018-05-22T00:00:00"/>
        <d v="2018-05-23T00:00:00"/>
        <d v="2018-05-24T00:00:00"/>
        <d v="2018-05-25T00:00:00"/>
        <d v="2018-05-26T00:00:00"/>
        <d v="2018-05-29T00:00:00"/>
        <d v="2018-05-30T00:00:00"/>
        <d v="2018-05-31T00:00:00"/>
        <d v="2018-06-01T00:00:00"/>
        <d v="2018-06-02T00:00:00"/>
        <d v="2018-06-05T00:00:00"/>
        <d v="2018-06-06T00:00:00"/>
        <d v="2018-06-07T00:00:00"/>
        <d v="2018-06-08T00:00:00"/>
        <d v="2018-06-09T00:00:00"/>
        <d v="2018-06-10T00:00:00"/>
        <d v="2018-06-14T00:00:00"/>
        <d v="2018-06-15T00:00:00"/>
        <d v="2018-06-16T00:00:00"/>
        <d v="2018-06-19T00:00:00"/>
        <d v="2018-06-20T00:00:00"/>
        <d v="2018-06-21T00:00:00"/>
        <d v="2018-06-22T00:00:00"/>
        <d v="2018-06-23T00:00:00"/>
        <d v="2018-06-26T00:00:00"/>
        <d v="2018-06-27T00:00:00"/>
        <d v="2018-06-28T00:00:00"/>
        <d v="2018-06-29T00:00:00"/>
        <d v="2018-06-30T00:00:00"/>
        <d v="2018-07-03T00:00:00"/>
        <d v="2018-07-04T00:00:00"/>
        <d v="2018-07-05T00:00:00"/>
        <d v="2018-07-06T00:00:00"/>
        <d v="2018-07-07T00:00:00"/>
        <d v="2018-07-10T00:00:00"/>
        <d v="2018-07-11T00:00:00"/>
        <d v="2018-07-12T00:00:00"/>
        <d v="2018-07-13T00:00:00"/>
        <d v="2018-07-14T00:00:00"/>
        <d v="2018-07-17T00:00:00"/>
        <d v="2018-07-18T00:00:00"/>
        <d v="2018-07-19T00:00:00"/>
        <d v="2018-07-20T00:00:00"/>
        <d v="2018-07-21T00:00:00"/>
        <d v="2018-07-24T00:00:00"/>
        <d v="2018-07-25T00:00:00"/>
        <d v="2018-07-26T00:00:00"/>
        <d v="2018-07-27T00:00:00"/>
        <d v="2018-07-28T00:00:00"/>
        <d v="2018-07-31T00:00:00"/>
        <d v="2018-08-01T00:00:00"/>
        <d v="2018-08-02T00:00:00"/>
        <d v="2018-08-03T00:00:00"/>
        <d v="2018-08-04T00:00:00"/>
        <d v="2018-08-07T00:00:00"/>
        <d v="2018-08-08T00:00:00"/>
        <d v="2018-08-09T00:00:00"/>
        <d v="2018-08-10T00:00:00"/>
        <d v="2018-08-11T00:00:00"/>
        <d v="2018-08-14T00:00:00"/>
        <d v="2018-08-15T00:00:00"/>
        <d v="2018-08-16T00:00:00"/>
        <d v="2018-08-17T00:00:00"/>
        <d v="2018-08-18T00:00:00"/>
        <d v="2018-08-21T00:00:00"/>
        <d v="2018-08-22T00:00:00"/>
        <d v="2018-08-23T00:00:00"/>
        <d v="2018-08-24T00:00:00"/>
        <d v="2018-08-25T00:00:00"/>
        <d v="2018-08-28T00:00:00"/>
        <d v="2018-08-29T00:00:00"/>
        <d v="2018-08-30T00:00:00"/>
        <d v="2018-08-31T00:00:00"/>
        <d v="2018-09-01T00:00:00"/>
        <d v="2018-09-04T00:00:00"/>
        <d v="2018-09-05T00:00:00"/>
        <d v="2018-09-06T00:00:00"/>
        <d v="2018-09-07T00:00:00"/>
        <d v="2018-09-08T00:00:00"/>
        <d v="2018-09-11T00:00:00"/>
        <d v="2018-09-12T00:00:00"/>
        <d v="2018-09-13T00:00:00"/>
        <d v="2018-09-14T00:00:00"/>
        <d v="2018-09-15T00:00:00"/>
        <d v="2018-09-18T00:00:00"/>
        <d v="2018-09-19T00:00:00"/>
        <d v="2018-09-20T00:00:00"/>
        <d v="2018-09-21T00:00:00"/>
        <d v="2018-09-22T00:00:00"/>
        <d v="2018-09-25T00:00:00"/>
        <d v="2018-09-26T00:00:00"/>
        <d v="2018-09-27T00:00:00"/>
        <d v="2018-09-28T00:00:00"/>
        <d v="2018-09-29T00:00:00"/>
        <d v="2018-10-02T00:00:00"/>
        <d v="2018-10-03T00:00:00"/>
        <d v="2018-10-04T00:00:00"/>
        <d v="2018-10-05T00:00:00"/>
        <d v="2018-10-06T00:00:00"/>
        <d v="2018-10-09T00:00:00"/>
        <d v="2018-10-10T00:00:00"/>
        <d v="2018-10-11T00:00:00"/>
        <d v="2018-10-12T00:00:00"/>
        <d v="2018-10-13T00:00:00"/>
        <d v="2018-10-16T00:00:00"/>
        <d v="2018-10-17T00:00:00"/>
        <d v="2018-10-18T00:00:00"/>
        <d v="2018-10-19T00:00:00"/>
        <d v="2018-10-20T00:00:00"/>
        <d v="2018-10-23T00:00:00"/>
        <d v="2018-10-24T00:00:00"/>
        <d v="2018-10-25T00:00:00"/>
        <d v="2018-10-26T00:00:00"/>
        <d v="2018-10-27T00:00:00"/>
        <d v="2018-10-30T00:00:00"/>
        <d v="2018-10-31T00:00:00"/>
        <d v="2018-11-01T00:00:00"/>
        <d v="2018-11-02T00:00:00"/>
        <d v="2018-11-03T00:00:00"/>
        <d v="2018-11-07T00:00:00"/>
        <d v="2018-11-08T00:00:00"/>
        <d v="2018-11-09T00:00:00"/>
        <d v="2018-11-10T00:00:00"/>
        <d v="2018-11-13T00:00:00"/>
        <d v="2018-11-14T00:00:00"/>
        <d v="2018-11-15T00:00:00"/>
        <d v="2018-11-16T00:00:00"/>
        <d v="2018-11-17T00:00:00"/>
        <d v="2018-11-20T00:00:00"/>
        <d v="2018-11-21T00:00:00"/>
        <d v="2018-11-22T00:00:00"/>
        <d v="2018-11-23T00:00:00"/>
        <d v="2018-11-24T00:00:00"/>
        <d v="2018-11-27T00:00:00"/>
        <d v="2018-11-28T00:00:00"/>
        <d v="2018-11-29T00:00:00"/>
        <d v="2018-11-30T00:00:00"/>
        <d v="2018-12-01T00:00:00"/>
        <d v="2018-12-04T00:00:00"/>
        <d v="2018-12-05T00:00:00"/>
        <d v="2018-12-06T00:00:00"/>
        <d v="2018-12-07T00:00:00"/>
        <d v="2018-12-08T00:00:00"/>
        <d v="2018-12-11T00:00:00"/>
        <d v="2018-12-12T00:00:00"/>
        <d v="2018-12-13T00:00:00"/>
        <d v="2018-12-14T00:00:00"/>
        <d v="2018-12-15T00:00:00"/>
        <d v="2018-12-18T00:00:00"/>
        <d v="2018-12-19T00:00:00"/>
        <d v="2018-12-20T00:00:00"/>
        <d v="2018-12-21T00:00:00"/>
        <d v="2018-12-22T00:00:00"/>
        <d v="2018-12-25T00:00:00"/>
        <d v="2018-12-26T00:00:00"/>
        <d v="2018-12-27T00:00:00"/>
        <d v="2018-12-28T00:00:00"/>
        <d v="2018-12-29T00:00:00"/>
        <d v="2018-12-30T00:00:00"/>
      </sharedItems>
      <fieldGroup par="3" base="0">
        <rangePr groupBy="days" startDate="2018-01-10T00:00:00" endDate="2018-12-31T00:00:00"/>
        <groupItems count="368">
          <s v="&lt;10.01.2018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31.12.2018"/>
        </groupItems>
      </fieldGroup>
    </cacheField>
    <cacheField name="Курс" numFmtId="0">
      <sharedItems containsSemiMixedTypes="0" containsString="0" containsNumber="1" minValue="105.02" maxValue="114.35"/>
    </cacheField>
    <cacheField name="Обмен" numFmtId="0">
      <sharedItems/>
    </cacheField>
    <cacheField name="Месяцы" numFmtId="0" databaseField="0">
      <fieldGroup base="0">
        <rangePr groupBy="months" startDate="2018-01-10T00:00:00" endDate="2018-12-31T00:00:00"/>
        <groupItems count="14">
          <s v="&lt;10.01.2018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1.12.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x v="0"/>
    <n v="112.86"/>
    <s v="USD-JPY"/>
  </r>
  <r>
    <x v="1"/>
    <n v="111.93"/>
    <s v="USD-JPY"/>
  </r>
  <r>
    <x v="2"/>
    <n v="111.69"/>
    <s v="USD-JPY"/>
  </r>
  <r>
    <x v="3"/>
    <n v="111.26"/>
    <s v="USD-JPY"/>
  </r>
  <r>
    <x v="4"/>
    <n v="110.7"/>
    <s v="USD-JPY"/>
  </r>
  <r>
    <x v="5"/>
    <n v="110.71"/>
    <s v="USD-JPY"/>
  </r>
  <r>
    <x v="6"/>
    <n v="110.76"/>
    <s v="USD-JPY"/>
  </r>
  <r>
    <x v="7"/>
    <n v="111.21"/>
    <s v="USD-JPY"/>
  </r>
  <r>
    <x v="8"/>
    <n v="110.58"/>
    <s v="USD-JPY"/>
  </r>
  <r>
    <x v="9"/>
    <n v="110.85"/>
    <s v="USD-JPY"/>
  </r>
  <r>
    <x v="10"/>
    <n v="110.95"/>
    <s v="USD-JPY"/>
  </r>
  <r>
    <x v="11"/>
    <n v="109.87"/>
    <s v="USD-JPY"/>
  </r>
  <r>
    <x v="12"/>
    <n v="109.12"/>
    <s v="USD-JPY"/>
  </r>
  <r>
    <x v="13"/>
    <n v="108.98"/>
    <s v="USD-JPY"/>
  </r>
  <r>
    <x v="14"/>
    <n v="108.97"/>
    <s v="USD-JPY"/>
  </r>
  <r>
    <x v="15"/>
    <n v="108.76"/>
    <s v="USD-JPY"/>
  </r>
  <r>
    <x v="16"/>
    <n v="108.69"/>
    <s v="USD-JPY"/>
  </r>
  <r>
    <x v="17"/>
    <n v="109.54"/>
    <s v="USD-JPY"/>
  </r>
  <r>
    <x v="18"/>
    <n v="109.76"/>
    <s v="USD-JPY"/>
  </r>
  <r>
    <x v="19"/>
    <n v="109.86"/>
    <s v="USD-JPY"/>
  </r>
  <r>
    <x v="20"/>
    <n v="109.23"/>
    <s v="USD-JPY"/>
  </r>
  <r>
    <x v="21"/>
    <n v="109.01"/>
    <s v="USD-JPY"/>
  </r>
  <r>
    <x v="22"/>
    <n v="109.72"/>
    <s v="USD-JPY"/>
  </r>
  <r>
    <x v="23"/>
    <n v="109.25"/>
    <s v="USD-JPY"/>
  </r>
  <r>
    <x v="24"/>
    <n v="108.6"/>
    <s v="USD-JPY"/>
  </r>
  <r>
    <x v="25"/>
    <n v="107.62"/>
    <s v="USD-JPY"/>
  </r>
  <r>
    <x v="26"/>
    <n v="107.37"/>
    <s v="USD-JPY"/>
  </r>
  <r>
    <x v="27"/>
    <n v="106.46"/>
    <s v="USD-JPY"/>
  </r>
  <r>
    <x v="28"/>
    <n v="105.89"/>
    <s v="USD-JPY"/>
  </r>
  <r>
    <x v="29"/>
    <n v="106.58"/>
    <s v="USD-JPY"/>
  </r>
  <r>
    <x v="30"/>
    <n v="107.08"/>
    <s v="USD-JPY"/>
  </r>
  <r>
    <x v="31"/>
    <n v="107.67"/>
    <s v="USD-JPY"/>
  </r>
  <r>
    <x v="32"/>
    <n v="107.34"/>
    <s v="USD-JPY"/>
  </r>
  <r>
    <x v="33"/>
    <n v="106.63"/>
    <s v="USD-JPY"/>
  </r>
  <r>
    <x v="34"/>
    <n v="107.07"/>
    <s v="USD-JPY"/>
  </r>
  <r>
    <x v="35"/>
    <n v="107.15"/>
    <s v="USD-JPY"/>
  </r>
  <r>
    <x v="36"/>
    <n v="106.8"/>
    <s v="USD-JPY"/>
  </r>
  <r>
    <x v="37"/>
    <n v="105.79"/>
    <s v="USD-JPY"/>
  </r>
  <r>
    <x v="38"/>
    <n v="105.49"/>
    <s v="USD-JPY"/>
  </r>
  <r>
    <x v="39"/>
    <n v="106.05"/>
    <s v="USD-JPY"/>
  </r>
  <r>
    <x v="40"/>
    <n v="105.79"/>
    <s v="USD-JPY"/>
  </r>
  <r>
    <x v="41"/>
    <n v="106.49"/>
    <s v="USD-JPY"/>
  </r>
  <r>
    <x v="42"/>
    <n v="106.93"/>
    <s v="USD-JPY"/>
  </r>
  <r>
    <x v="43"/>
    <n v="106.65"/>
    <s v="USD-JPY"/>
  </r>
  <r>
    <x v="44"/>
    <n v="106.12"/>
    <s v="USD-JPY"/>
  </r>
  <r>
    <x v="45"/>
    <n v="105.72"/>
    <s v="USD-JPY"/>
  </r>
  <r>
    <x v="46"/>
    <n v="105.85"/>
    <s v="USD-JPY"/>
  </r>
  <r>
    <x v="47"/>
    <n v="106.43"/>
    <s v="USD-JPY"/>
  </r>
  <r>
    <x v="48"/>
    <n v="106.31"/>
    <s v="USD-JPY"/>
  </r>
  <r>
    <x v="49"/>
    <n v="105.71"/>
    <s v="USD-JPY"/>
  </r>
  <r>
    <x v="50"/>
    <n v="105.02"/>
    <s v="USD-JPY"/>
  </r>
  <r>
    <x v="51"/>
    <n v="105.09"/>
    <s v="USD-JPY"/>
  </r>
  <r>
    <x v="52"/>
    <n v="105.53"/>
    <s v="USD-JPY"/>
  </r>
  <r>
    <x v="53"/>
    <n v="105.59"/>
    <s v="USD-JPY"/>
  </r>
  <r>
    <x v="54"/>
    <n v="106.6"/>
    <s v="USD-JPY"/>
  </r>
  <r>
    <x v="55"/>
    <n v="106.18"/>
    <s v="USD-JPY"/>
  </r>
  <r>
    <x v="56"/>
    <n v="106.3"/>
    <s v="USD-JPY"/>
  </r>
  <r>
    <x v="57"/>
    <n v="106.14"/>
    <s v="USD-JPY"/>
  </r>
  <r>
    <x v="58"/>
    <n v="106.09"/>
    <s v="USD-JPY"/>
  </r>
  <r>
    <x v="59"/>
    <n v="107.08"/>
    <s v="USD-JPY"/>
  </r>
  <r>
    <x v="60"/>
    <n v="107.41"/>
    <s v="USD-JPY"/>
  </r>
  <r>
    <x v="61"/>
    <n v="107.15"/>
    <s v="USD-JPY"/>
  </r>
  <r>
    <x v="62"/>
    <n v="107.05"/>
    <s v="USD-JPY"/>
  </r>
  <r>
    <x v="63"/>
    <n v="106.91"/>
    <s v="USD-JPY"/>
  </r>
  <r>
    <x v="64"/>
    <n v="106.9"/>
    <s v="USD-JPY"/>
  </r>
  <r>
    <x v="65"/>
    <n v="107.62"/>
    <s v="USD-JPY"/>
  </r>
  <r>
    <x v="66"/>
    <n v="107.22"/>
    <s v="USD-JPY"/>
  </r>
  <r>
    <x v="67"/>
    <n v="106.99"/>
    <s v="USD-JPY"/>
  </r>
  <r>
    <x v="68"/>
    <n v="107.33"/>
    <s v="USD-JPY"/>
  </r>
  <r>
    <x v="69"/>
    <n v="107.35"/>
    <s v="USD-JPY"/>
  </r>
  <r>
    <x v="70"/>
    <n v="107.56"/>
    <s v="USD-JPY"/>
  </r>
  <r>
    <x v="71"/>
    <n v="107.87"/>
    <s v="USD-JPY"/>
  </r>
  <r>
    <x v="72"/>
    <n v="108.83"/>
    <s v="USD-JPY"/>
  </r>
  <r>
    <x v="73"/>
    <n v="109.22"/>
    <s v="USD-JPY"/>
  </r>
  <r>
    <x v="74"/>
    <n v="109.34"/>
    <s v="USD-JPY"/>
  </r>
  <r>
    <x v="75"/>
    <n v="109.33"/>
    <s v="USD-JPY"/>
  </r>
  <r>
    <x v="76"/>
    <n v="109.04"/>
    <s v="USD-JPY"/>
  </r>
  <r>
    <x v="77"/>
    <n v="109.66"/>
    <s v="USD-JPY"/>
  </r>
  <r>
    <x v="78"/>
    <n v="109.09"/>
    <s v="USD-JPY"/>
  </r>
  <r>
    <x v="79"/>
    <n v="109.24"/>
    <s v="USD-JPY"/>
  </r>
  <r>
    <x v="80"/>
    <n v="108.99"/>
    <s v="USD-JPY"/>
  </r>
  <r>
    <x v="81"/>
    <n v="109.86"/>
    <s v="USD-JPY"/>
  </r>
  <r>
    <x v="82"/>
    <n v="109.36"/>
    <s v="USD-JPY"/>
  </r>
  <r>
    <x v="83"/>
    <n v="109.55"/>
    <s v="USD-JPY"/>
  </r>
  <r>
    <x v="84"/>
    <n v="109.87"/>
    <s v="USD-JPY"/>
  </r>
  <r>
    <x v="85"/>
    <n v="110.18"/>
    <s v="USD-JPY"/>
  </r>
  <r>
    <x v="86"/>
    <n v="110.65"/>
    <s v="USD-JPY"/>
  </r>
  <r>
    <x v="87"/>
    <n v="110.95"/>
    <s v="USD-JPY"/>
  </r>
  <r>
    <x v="88"/>
    <n v="111.35"/>
    <s v="USD-JPY"/>
  </r>
  <r>
    <x v="89"/>
    <n v="110.99"/>
    <s v="USD-JPY"/>
  </r>
  <r>
    <x v="90"/>
    <n v="109.92"/>
    <s v="USD-JPY"/>
  </r>
  <r>
    <x v="91"/>
    <n v="109.68"/>
    <s v="USD-JPY"/>
  </r>
  <r>
    <x v="92"/>
    <n v="109.46"/>
    <s v="USD-JPY"/>
  </r>
  <r>
    <x v="93"/>
    <n v="109.43"/>
    <s v="USD-JPY"/>
  </r>
  <r>
    <x v="94"/>
    <n v="108.56"/>
    <s v="USD-JPY"/>
  </r>
  <r>
    <x v="95"/>
    <n v="108.66"/>
    <s v="USD-JPY"/>
  </r>
  <r>
    <x v="96"/>
    <n v="108.84"/>
    <s v="USD-JPY"/>
  </r>
  <r>
    <x v="97"/>
    <n v="109.13"/>
    <s v="USD-JPY"/>
  </r>
  <r>
    <x v="98"/>
    <n v="109.52"/>
    <s v="USD-JPY"/>
  </r>
  <r>
    <x v="99"/>
    <n v="109.82"/>
    <s v="USD-JPY"/>
  </r>
  <r>
    <x v="100"/>
    <n v="110.04"/>
    <s v="USD-JPY"/>
  </r>
  <r>
    <x v="101"/>
    <n v="109.94"/>
    <s v="USD-JPY"/>
  </r>
  <r>
    <x v="102"/>
    <n v="109.36"/>
    <s v="USD-JPY"/>
  </r>
  <r>
    <x v="103"/>
    <n v="109.55"/>
    <s v="USD-JPY"/>
  </r>
  <r>
    <x v="104"/>
    <n v="110.67"/>
    <s v="USD-JPY"/>
  </r>
  <r>
    <x v="105"/>
    <n v="110.01"/>
    <s v="USD-JPY"/>
  </r>
  <r>
    <x v="106"/>
    <n v="110.46"/>
    <s v="USD-JPY"/>
  </r>
  <r>
    <x v="107"/>
    <n v="110.49"/>
    <s v="USD-JPY"/>
  </r>
  <r>
    <x v="108"/>
    <n v="109.69"/>
    <s v="USD-JPY"/>
  </r>
  <r>
    <x v="109"/>
    <n v="110.14"/>
    <s v="USD-JPY"/>
  </r>
  <r>
    <x v="110"/>
    <n v="110.58"/>
    <s v="USD-JPY"/>
  </r>
  <r>
    <x v="111"/>
    <n v="110.19"/>
    <s v="USD-JPY"/>
  </r>
  <r>
    <x v="112"/>
    <n v="109.52"/>
    <s v="USD-JPY"/>
  </r>
  <r>
    <x v="113"/>
    <n v="109.68"/>
    <s v="USD-JPY"/>
  </r>
  <r>
    <x v="114"/>
    <n v="109.78"/>
    <s v="USD-JPY"/>
  </r>
  <r>
    <x v="115"/>
    <n v="110.39"/>
    <s v="USD-JPY"/>
  </r>
  <r>
    <x v="116"/>
    <n v="110.68"/>
    <s v="USD-JPY"/>
  </r>
  <r>
    <x v="117"/>
    <n v="110.73"/>
    <s v="USD-JPY"/>
  </r>
  <r>
    <x v="118"/>
    <n v="110.93"/>
    <s v="USD-JPY"/>
  </r>
  <r>
    <x v="119"/>
    <n v="110.51"/>
    <s v="USD-JPY"/>
  </r>
  <r>
    <x v="120"/>
    <n v="110.65"/>
    <s v="USD-JPY"/>
  </r>
  <r>
    <x v="121"/>
    <n v="110.6"/>
    <s v="USD-JPY"/>
  </r>
  <r>
    <x v="122"/>
    <n v="110.44"/>
    <s v="USD-JPY"/>
  </r>
  <r>
    <x v="123"/>
    <n v="111.1"/>
    <s v="USD-JPY"/>
  </r>
  <r>
    <x v="124"/>
    <n v="111.04"/>
    <s v="USD-JPY"/>
  </r>
  <r>
    <x v="125"/>
    <n v="112.31"/>
    <s v="USD-JPY"/>
  </r>
  <r>
    <x v="126"/>
    <n v="112.75"/>
    <s v="USD-JPY"/>
  </r>
  <r>
    <x v="127"/>
    <n v="112.45"/>
    <s v="USD-JPY"/>
  </r>
  <r>
    <x v="128"/>
    <n v="112.37"/>
    <s v="USD-JPY"/>
  </r>
  <r>
    <x v="129"/>
    <n v="113.01"/>
    <s v="USD-JPY"/>
  </r>
  <r>
    <x v="130"/>
    <n v="113.03"/>
    <s v="USD-JPY"/>
  </r>
  <r>
    <x v="131"/>
    <n v="112.48"/>
    <s v="USD-JPY"/>
  </r>
  <r>
    <x v="132"/>
    <n v="110.98"/>
    <s v="USD-JPY"/>
  </r>
  <r>
    <x v="133"/>
    <n v="111.23"/>
    <s v="USD-JPY"/>
  </r>
  <r>
    <x v="134"/>
    <n v="111.22"/>
    <s v="USD-JPY"/>
  </r>
  <r>
    <x v="135"/>
    <n v="110.71"/>
    <s v="USD-JPY"/>
  </r>
  <r>
    <x v="136"/>
    <n v="111.13"/>
    <s v="USD-JPY"/>
  </r>
  <r>
    <x v="137"/>
    <n v="111.1"/>
    <s v="USD-JPY"/>
  </r>
  <r>
    <x v="138"/>
    <n v="111.37"/>
    <s v="USD-JPY"/>
  </r>
  <r>
    <x v="139"/>
    <n v="112.01"/>
    <s v="USD-JPY"/>
  </r>
  <r>
    <x v="140"/>
    <n v="111.63"/>
    <s v="USD-JPY"/>
  </r>
  <r>
    <x v="141"/>
    <n v="111.71"/>
    <s v="USD-JPY"/>
  </r>
  <r>
    <x v="142"/>
    <n v="111.27"/>
    <s v="USD-JPY"/>
  </r>
  <r>
    <x v="143"/>
    <n v="111.33"/>
    <s v="USD-JPY"/>
  </r>
  <r>
    <x v="144"/>
    <n v="110.96"/>
    <s v="USD-JPY"/>
  </r>
  <r>
    <x v="145"/>
    <n v="111.08"/>
    <s v="USD-JPY"/>
  </r>
  <r>
    <x v="146"/>
    <n v="110.85"/>
    <s v="USD-JPY"/>
  </r>
  <r>
    <x v="147"/>
    <n v="110.29"/>
    <s v="USD-JPY"/>
  </r>
  <r>
    <x v="148"/>
    <n v="111.08"/>
    <s v="USD-JPY"/>
  </r>
  <r>
    <x v="149"/>
    <n v="111.29"/>
    <s v="USD-JPY"/>
  </r>
  <r>
    <x v="150"/>
    <n v="110.78"/>
    <s v="USD-JPY"/>
  </r>
  <r>
    <x v="151"/>
    <n v="110.71"/>
    <s v="USD-JPY"/>
  </r>
  <r>
    <x v="152"/>
    <n v="110.65"/>
    <s v="USD-JPY"/>
  </r>
  <r>
    <x v="153"/>
    <n v="110.19"/>
    <s v="USD-JPY"/>
  </r>
  <r>
    <x v="154"/>
    <n v="110.41"/>
    <s v="USD-JPY"/>
  </r>
  <r>
    <x v="155"/>
    <n v="110.79"/>
    <s v="USD-JPY"/>
  </r>
  <r>
    <x v="156"/>
    <n v="111.36"/>
    <s v="USD-JPY"/>
  </r>
  <r>
    <x v="157"/>
    <n v="111.16"/>
    <s v="USD-JPY"/>
  </r>
  <r>
    <x v="158"/>
    <n v="111.09"/>
    <s v="USD-JPY"/>
  </r>
  <r>
    <x v="159"/>
    <n v="111.19"/>
    <s v="USD-JPY"/>
  </r>
  <r>
    <x v="160"/>
    <n v="111.61"/>
    <s v="USD-JPY"/>
  </r>
  <r>
    <x v="161"/>
    <n v="110.7"/>
    <s v="USD-JPY"/>
  </r>
  <r>
    <x v="162"/>
    <n v="111.02"/>
    <s v="USD-JPY"/>
  </r>
  <r>
    <x v="163"/>
    <n v="111.51"/>
    <s v="USD-JPY"/>
  </r>
  <r>
    <x v="164"/>
    <n v="111.48"/>
    <s v="USD-JPY"/>
  </r>
  <r>
    <x v="165"/>
    <n v="111.31"/>
    <s v="USD-JPY"/>
  </r>
  <r>
    <x v="166"/>
    <n v="110.71"/>
    <s v="USD-JPY"/>
  </r>
  <r>
    <x v="167"/>
    <n v="111.03"/>
    <s v="USD-JPY"/>
  </r>
  <r>
    <x v="168"/>
    <n v="111.48"/>
    <s v="USD-JPY"/>
  </r>
  <r>
    <x v="169"/>
    <n v="111.46"/>
    <s v="USD-JPY"/>
  </r>
  <r>
    <x v="170"/>
    <n v="111.46"/>
    <s v="USD-JPY"/>
  </r>
  <r>
    <x v="171"/>
    <n v="111.81"/>
    <s v="USD-JPY"/>
  </r>
  <r>
    <x v="172"/>
    <n v="111.93"/>
    <s v="USD-JPY"/>
  </r>
  <r>
    <x v="173"/>
    <n v="111.94"/>
    <s v="USD-JPY"/>
  </r>
  <r>
    <x v="174"/>
    <n v="112.38"/>
    <s v="USD-JPY"/>
  </r>
  <r>
    <x v="175"/>
    <n v="112.26"/>
    <s v="USD-JPY"/>
  </r>
  <r>
    <x v="176"/>
    <n v="112.73"/>
    <s v="USD-JPY"/>
  </r>
  <r>
    <x v="177"/>
    <n v="112.61"/>
    <s v="USD-JPY"/>
  </r>
  <r>
    <x v="178"/>
    <n v="112.9"/>
    <s v="USD-JPY"/>
  </r>
  <r>
    <x v="179"/>
    <n v="112.83"/>
    <s v="USD-JPY"/>
  </r>
  <r>
    <x v="180"/>
    <n v="112.71"/>
    <s v="USD-JPY"/>
  </r>
  <r>
    <x v="181"/>
    <n v="113.42"/>
    <s v="USD-JPY"/>
  </r>
  <r>
    <x v="182"/>
    <n v="114.01"/>
    <s v="USD-JPY"/>
  </r>
  <r>
    <x v="183"/>
    <n v="113.73"/>
    <s v="USD-JPY"/>
  </r>
  <r>
    <x v="184"/>
    <n v="113.84"/>
    <s v="USD-JPY"/>
  </r>
  <r>
    <x v="185"/>
    <n v="114.35"/>
    <s v="USD-JPY"/>
  </r>
  <r>
    <x v="186"/>
    <n v="113.82"/>
    <s v="USD-JPY"/>
  </r>
  <r>
    <x v="187"/>
    <n v="113.61"/>
    <s v="USD-JPY"/>
  </r>
  <r>
    <x v="188"/>
    <n v="113.17"/>
    <s v="USD-JPY"/>
  </r>
  <r>
    <x v="189"/>
    <n v="113.15"/>
    <s v="USD-JPY"/>
  </r>
  <r>
    <x v="190"/>
    <n v="112.34"/>
    <s v="USD-JPY"/>
  </r>
  <r>
    <x v="191"/>
    <n v="112.33"/>
    <s v="USD-JPY"/>
  </r>
  <r>
    <x v="192"/>
    <n v="111.75"/>
    <s v="USD-JPY"/>
  </r>
  <r>
    <x v="193"/>
    <n v="112.16"/>
    <s v="USD-JPY"/>
  </r>
  <r>
    <x v="194"/>
    <n v="112.25"/>
    <s v="USD-JPY"/>
  </r>
  <r>
    <x v="195"/>
    <n v="112.58"/>
    <s v="USD-JPY"/>
  </r>
  <r>
    <x v="196"/>
    <n v="112.41"/>
    <s v="USD-JPY"/>
  </r>
  <r>
    <x v="197"/>
    <n v="112.74"/>
    <s v="USD-JPY"/>
  </r>
  <r>
    <x v="198"/>
    <n v="112.3"/>
    <s v="USD-JPY"/>
  </r>
  <r>
    <x v="199"/>
    <n v="112.48"/>
    <s v="USD-JPY"/>
  </r>
  <r>
    <x v="200"/>
    <n v="112.31"/>
    <s v="USD-JPY"/>
  </r>
  <r>
    <x v="201"/>
    <n v="112.04"/>
    <s v="USD-JPY"/>
  </r>
  <r>
    <x v="202"/>
    <n v="111.94"/>
    <s v="USD-JPY"/>
  </r>
  <r>
    <x v="203"/>
    <n v="112.86"/>
    <s v="USD-JPY"/>
  </r>
  <r>
    <x v="204"/>
    <n v="113.11"/>
    <s v="USD-JPY"/>
  </r>
  <r>
    <x v="205"/>
    <n v="112.89"/>
    <s v="USD-JPY"/>
  </r>
  <r>
    <x v="206"/>
    <n v="112.92"/>
    <s v="USD-JPY"/>
  </r>
  <r>
    <x v="207"/>
    <n v="113.3"/>
    <s v="USD-JPY"/>
  </r>
  <r>
    <x v="208"/>
    <n v="113.19"/>
    <s v="USD-JPY"/>
  </r>
  <r>
    <x v="209"/>
    <n v="113.72"/>
    <s v="USD-JPY"/>
  </r>
  <r>
    <x v="210"/>
    <n v="113.81"/>
    <s v="USD-JPY"/>
  </r>
  <r>
    <x v="211"/>
    <n v="114.13"/>
    <s v="USD-JPY"/>
  </r>
  <r>
    <x v="212"/>
    <n v="114.11"/>
    <s v="USD-JPY"/>
  </r>
  <r>
    <x v="213"/>
    <n v="113.88"/>
    <s v="USD-JPY"/>
  </r>
  <r>
    <x v="214"/>
    <n v="113.46"/>
    <s v="USD-JPY"/>
  </r>
  <r>
    <x v="215"/>
    <n v="113.25"/>
    <s v="USD-JPY"/>
  </r>
  <r>
    <x v="216"/>
    <n v="112.82"/>
    <s v="USD-JPY"/>
  </r>
  <r>
    <x v="217"/>
    <n v="112.44"/>
    <s v="USD-JPY"/>
  </r>
  <r>
    <x v="218"/>
    <n v="112.87"/>
    <s v="USD-JPY"/>
  </r>
  <r>
    <x v="219"/>
    <n v="112.97"/>
    <s v="USD-JPY"/>
  </r>
  <r>
    <x v="220"/>
    <n v="112.86"/>
    <s v="USD-JPY"/>
  </r>
  <r>
    <x v="221"/>
    <n v="113.32"/>
    <s v="USD-JPY"/>
  </r>
  <r>
    <x v="222"/>
    <n v="113.57"/>
    <s v="USD-JPY"/>
  </r>
  <r>
    <x v="223"/>
    <n v="113.86"/>
    <s v="USD-JPY"/>
  </r>
  <r>
    <x v="224"/>
    <n v="113.27"/>
    <s v="USD-JPY"/>
  </r>
  <r>
    <x v="225"/>
    <n v="113.44"/>
    <s v="USD-JPY"/>
  </r>
  <r>
    <x v="226"/>
    <n v="113.5"/>
    <s v="USD-JPY"/>
  </r>
  <r>
    <x v="227"/>
    <n v="113.06"/>
    <s v="USD-JPY"/>
  </r>
  <r>
    <x v="228"/>
    <n v="113.04"/>
    <s v="USD-JPY"/>
  </r>
  <r>
    <x v="229"/>
    <n v="113.03"/>
    <s v="USD-JPY"/>
  </r>
  <r>
    <x v="230"/>
    <n v="112.81"/>
    <s v="USD-JPY"/>
  </r>
  <r>
    <x v="231"/>
    <n v="112.62"/>
    <s v="USD-JPY"/>
  </r>
  <r>
    <x v="232"/>
    <n v="113.06"/>
    <s v="USD-JPY"/>
  </r>
  <r>
    <x v="233"/>
    <n v="113.46"/>
    <s v="USD-JPY"/>
  </r>
  <r>
    <x v="234"/>
    <n v="113.49"/>
    <s v="USD-JPY"/>
  </r>
  <r>
    <x v="235"/>
    <n v="113.58"/>
    <s v="USD-JPY"/>
  </r>
  <r>
    <x v="236"/>
    <n v="113.39"/>
    <s v="USD-JPY"/>
  </r>
  <r>
    <x v="237"/>
    <n v="112.48"/>
    <s v="USD-JPY"/>
  </r>
  <r>
    <x v="238"/>
    <n v="112.36"/>
    <s v="USD-JPY"/>
  </r>
  <r>
    <x v="239"/>
    <n v="111.85"/>
    <s v="USD-JPY"/>
  </r>
  <r>
    <x v="240"/>
    <n v="111.09"/>
    <s v="USD-JPY"/>
  </r>
  <r>
    <x v="241"/>
    <n v="110.94"/>
    <s v="USD-JPY"/>
  </r>
  <r>
    <x v="242"/>
    <n v="110.28"/>
    <s v="USD-JPY"/>
  </r>
  <r>
    <x v="243"/>
    <n v="110.51"/>
    <s v="USD-JPY"/>
  </r>
  <r>
    <x v="244"/>
    <n v="110.93"/>
    <s v="USD-JPY"/>
  </r>
  <r>
    <x v="245"/>
    <n v="110.46"/>
    <s v="USD-JPY"/>
  </r>
  <r>
    <x v="246"/>
    <n v="110.27"/>
    <s v="USD-JP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70A41-AD9C-4C33-9DF9-FFFB5CF8899C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outline="1" outlineData="1" multipleFieldFilters="0" chartFormat="4">
  <location ref="E19:F31" firstHeaderRow="1" firstDataRow="1" firstDataCol="1"/>
  <pivotFields count="4">
    <pivotField axis="axisRow" numFmtId="14" showAll="0" defaultSubtotal="0">
      <items count="36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</items>
    </pivotField>
    <pivotField dataField="1" showAll="0" defaultSubtotal="0"/>
    <pivotField showAll="0" defaultSubtota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3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Среднее по полю Курс" fld="1" subtotal="average" baseField="0" baseItem="0" numFmtId="2"/>
  </dataFields>
  <formats count="1">
    <format dxfId="1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7FE403E-DBD6-4F27-AC5E-97EF57B288C1}" autoFormatId="16" applyNumberFormats="0" applyBorderFormats="0" applyFontFormats="0" applyPatternFormats="0" applyAlignmentFormats="0" applyWidthHeightFormats="0">
  <queryTableRefresh nextId="12" unboundColumnsRight="3">
    <queryTableFields count="6">
      <queryTableField id="1" name="Дата" tableColumnId="1"/>
      <queryTableField id="2" name="Курс" tableColumnId="2"/>
      <queryTableField id="3" name="Обмен" tableColumnId="3"/>
      <queryTableField id="11" dataBound="0" tableColumnId="11"/>
      <queryTableField id="9" dataBound="0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138792C-1741-4E13-B761-4E131423ADE1}" autoFormatId="16" applyNumberFormats="0" applyBorderFormats="0" applyFontFormats="0" applyPatternFormats="0" applyAlignmentFormats="0" applyWidthHeightFormats="0">
  <queryTableRefresh nextId="5">
    <queryTableFields count="3">
      <queryTableField id="1" name="Дата" tableColumnId="1"/>
      <queryTableField id="2" name="Курс" tableColumnId="2"/>
      <queryTableField id="4" name="Обмен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A77712-B48B-4E3F-A1D0-14558DD421D2}" name="CurrExchange_2" displayName="CurrExchange_2" ref="A1:F119" tableType="queryTable" totalsRowCount="1">
  <autoFilter ref="A1:F118" xr:uid="{62A77712-B48B-4E3F-A1D0-14558DD421D2}"/>
  <tableColumns count="6">
    <tableColumn id="1" xr3:uid="{5C7EBA7D-9098-4365-BCAB-AEE4EF7BF6F5}" uniqueName="1" name="Дата" queryTableFieldId="1" dataDxfId="18" totalsRowDxfId="17"/>
    <tableColumn id="2" xr3:uid="{157019EA-4457-40F1-94FC-EA91F82CCBE6}" uniqueName="2" name="Курс" queryTableFieldId="2"/>
    <tableColumn id="3" xr3:uid="{97BF43F1-AB2D-4361-BEBB-FA4A35AB244A}" uniqueName="3" name="Обмен" queryTableFieldId="3"/>
    <tableColumn id="11" xr3:uid="{215D66BB-C978-4F66-A294-07F63139E890}" uniqueName="11" name="X3" queryTableFieldId="11"/>
    <tableColumn id="9" xr3:uid="{1A405475-FDFB-4DBC-A5C4-0AFED24FEEB2}" uniqueName="9" name="M3" queryTableFieldId="9" dataDxfId="16">
      <calculatedColumnFormula>0.0086* CurrExchange_2[[#This Row],[X3]] + 108.06</calculatedColumnFormula>
    </tableColumn>
    <tableColumn id="10" xr3:uid="{EB2F1041-33BF-4586-BE35-631E817865DA}" uniqueName="10" name="S3" totalsRowFunction="sum" queryTableFieldId="10" dataDxfId="15">
      <calculatedColumnFormula>(CurrExchange_2[[#This Row],[Курс]]-CurrExchange_2[[#This Row],[M3]])^2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EF9BBB-BD1F-4010-AC6F-1D6BFE43A6FA}" name="Model1" displayName="Model1" ref="H1:J52" totalsRowCount="1">
  <autoFilter ref="H1:J51" xr:uid="{94EF9BBB-BD1F-4010-AC6F-1D6BFE43A6FA}"/>
  <tableColumns count="3">
    <tableColumn id="3" xr3:uid="{4BD41538-4928-4FC9-813E-9FEC41E815FE}" name="X1" totalsRowLabel="Итог"/>
    <tableColumn id="1" xr3:uid="{A36F2721-96F1-4FE3-BF14-CD7FCCED026E}" name="M1">
      <calculatedColumnFormula>-0.1306*(ROW()-1)+111.65</calculatedColumnFormula>
    </tableColumn>
    <tableColumn id="2" xr3:uid="{DCE9A383-1979-4A4D-B7C1-D2F8CE47EAB4}" name="S1" totalsRowFunction="sum">
      <calculatedColumnFormula>(CurrExchange_2[[#This Row],[Курс]]-I2)^2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4FEC80-2CDD-40FF-B127-03E010586CFD}" name="Model2" displayName="Model2" ref="L1:N69" totalsRowCount="1">
  <autoFilter ref="L1:N68" xr:uid="{524FEC80-2CDD-40FF-B127-03E010586CFD}"/>
  <tableColumns count="3">
    <tableColumn id="1" xr3:uid="{1D39435D-11FE-495F-9BC6-4853E89B5EFA}" name="X2" totalsRowLabel="Итог"/>
    <tableColumn id="2" xr3:uid="{5D4421A7-ED65-442F-A99E-6C93D9BEDBEB}" name="M2" dataDxfId="14">
      <calculatedColumnFormula>0.0706*Model2[[#This Row],[X2]]+106.36</calculatedColumnFormula>
    </tableColumn>
    <tableColumn id="3" xr3:uid="{EF1BDEDE-03C1-44B0-8611-C63AF68EF8D4}" name="S2" totalsRowFunction="sum" dataDxfId="13">
      <calculatedColumnFormula>(B52-M2)^2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E678FCD-ED26-4BD8-A90D-2D8B718EB9DB}" name="Параметры" displayName="Параметры" ref="P37:U40" totalsRowShown="0">
  <autoFilter ref="P37:U40" xr:uid="{4E678FCD-ED26-4BD8-A90D-2D8B718EB9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9ECB91B-B2A2-49B0-AFC0-02E291D6C7B0}" name="№"/>
    <tableColumn id="2" xr3:uid="{6F82487D-93A7-44EB-8605-2F7508954163}" name="m"/>
    <tableColumn id="3" xr3:uid="{0A7B88D1-8731-4D58-9CF0-D9AD48E0AC9A}" name="k"/>
    <tableColumn id="4" xr3:uid="{7FFE8E46-BC37-467C-B552-8CD0E6C7CAE7}" name="SS"/>
    <tableColumn id="5" xr3:uid="{8E27BF38-CACF-46FE-B4FC-9139203FDB0A}" name="ЧСС">
      <calculatedColumnFormula>Q38-R38</calculatedColumnFormula>
    </tableColumn>
    <tableColumn id="6" xr3:uid="{9590E030-A9EF-4FD1-B416-26C622A57AD8}" name="Модель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EF226B4-0D92-4646-A972-581945BF4028}" name="CurrExchange" displayName="CurrExchange" ref="A1:C248" tableType="queryTable" totalsRowShown="0">
  <autoFilter ref="A1:C248" xr:uid="{6EF226B4-0D92-4646-A972-581945BF4028}"/>
  <tableColumns count="3">
    <tableColumn id="1" xr3:uid="{D1AA88FA-9F43-431B-93FD-D8521733E4B5}" uniqueName="1" name="Дата" queryTableFieldId="1" dataDxfId="12"/>
    <tableColumn id="2" xr3:uid="{6C0771C8-F6B9-4C3F-8EFD-DCCD5ABBA497}" uniqueName="2" name="Курс" queryTableFieldId="2"/>
    <tableColumn id="4" xr3:uid="{FE9038AB-179E-4305-A5B3-EE367D660190}" uniqueName="4" name="Обмен" queryTableFieldId="4"/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8C7E5E-2E10-4AF2-AA29-137368D0C9A3}" name="Таблица1" displayName="Таблица1" ref="E36:H48" totalsRowShown="0">
  <autoFilter ref="E36:H48" xr:uid="{0B8C7E5E-2E10-4AF2-AA29-137368D0C9A3}"/>
  <tableColumns count="4">
    <tableColumn id="1" xr3:uid="{B460BDA3-774A-42FE-B602-BCD23659907B}" name="Индекс"/>
    <tableColumn id="2" xr3:uid="{58C34FF5-2256-4566-89D1-58053D469EC6}" name="USD-JPY" dataDxfId="2">
      <calculatedColumnFormula>GETPIVOTDATA("Курс",$E$19,"Месяцы",Таблица1[[#This Row],[Индекс]]+1)</calculatedColumnFormula>
    </tableColumn>
    <tableColumn id="3" xr3:uid="{42BBA7FD-D40F-46F1-BCAC-ED9A3F0951B5}" name="S" dataDxfId="3"/>
    <tableColumn id="4" xr3:uid="{75AE94A1-ADCC-402A-93F8-17AEB14668A9}" name="D" dataDxfId="0">
      <calculatedColumnFormula>Таблица1[[#This Row],[USD-JPY]]-Таблица1[[#This Row],[S]]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097273-B419-4D81-8628-EB24B608E604}" name="Таблица3" displayName="Таблица3" ref="B34:C58" totalsRowShown="0">
  <autoFilter ref="B34:C58" xr:uid="{7A097273-B419-4D81-8628-EB24B608E604}"/>
  <tableColumns count="2">
    <tableColumn id="1" xr3:uid="{F7172DE1-FF3E-415F-A1B6-F8D4F2572BAE}" name="t"/>
    <tableColumn id="2" xr3:uid="{1F92E659-4F56-4D05-9D01-A028C5C6975C}" name="c(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587646-5B21-4552-AD93-99637958CCD1}" name="Таблица6" displayName="Таблица6" ref="B6:C30" totalsRowShown="0" headerRowDxfId="11" dataDxfId="10" tableBorderDxfId="9">
  <autoFilter ref="B6:C30" xr:uid="{EE587646-5B21-4552-AD93-99637958CCD1}"/>
  <tableColumns count="2">
    <tableColumn id="1" xr3:uid="{8D0AE5EE-0F9D-45B6-8D95-8EE315984C88}" name="t" dataDxfId="8"/>
    <tableColumn id="2" xr3:uid="{87FBFB60-9973-4DCF-A287-02D953F444C7}" name="f(t)" dataDxfId="7">
      <calculatedColumnFormula>$C$7-0.6*B7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47B6EC-7ACF-4C68-99F1-C6C1296A8BB7}" name="Таблица2" displayName="Таблица2" ref="B62:C86" totalsRowShown="0" tableBorderDxfId="6">
  <autoFilter ref="B62:C86" xr:uid="{8C47B6EC-7ACF-4C68-99F1-C6C1296A8BB7}"/>
  <tableColumns count="2">
    <tableColumn id="1" xr3:uid="{31A495C2-3289-4868-A18D-D49D15BA1167}" name="t" dataDxfId="5"/>
    <tableColumn id="2" xr3:uid="{B29CA84F-4D97-4195-AAF3-B64AA337A226}" name="ε" dataDxfId="4">
      <calculatedColumnFormula>RAND()*RANDBETWEEN(-3,3)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99B53C-51AC-4004-AEF4-435543B90962}" name="Таблица4" displayName="Таблица4" ref="B91:C115" totalsRowShown="0">
  <autoFilter ref="B91:C115" xr:uid="{D699B53C-51AC-4004-AEF4-435543B90962}"/>
  <tableColumns count="2">
    <tableColumn id="1" xr3:uid="{402B5B94-D2FE-48B3-B412-B63032BBC944}" name="t"/>
    <tableColumn id="2" xr3:uid="{7DAA2E58-1140-438B-AEEB-1017DDE74590}" name="Y">
      <calculatedColumnFormula>C7+C35+C63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D0A2C12-FB2F-4CB5-BE90-F47A494C8D47}" name="Params" displayName="Params" ref="A1:B2" totalsRowShown="0">
  <autoFilter ref="A1:B2" xr:uid="{0D0A2C12-FB2F-4CB5-BE90-F47A494C8D47}"/>
  <tableColumns count="2">
    <tableColumn id="1" xr3:uid="{37741231-533A-4AF4-9525-5B04D62E2840}" name="Param"/>
    <tableColumn id="2" xr3:uid="{8F184EB3-9E21-4E95-8ACC-6AC238AB1B58}" name="Value">
      <calculatedColumnFormula array="1">LEFT(CELL("имяфайла"), FIND("[",CELL("имяфайла"))-1) &amp; "Data\"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8935-B04F-406C-B979-8BC89F832760}">
  <dimension ref="A1:W119"/>
  <sheetViews>
    <sheetView tabSelected="1" topLeftCell="G25" workbookViewId="0">
      <selection activeCell="AA61" sqref="AA60:AA61"/>
    </sheetView>
  </sheetViews>
  <sheetFormatPr defaultRowHeight="15" x14ac:dyDescent="0.25"/>
  <cols>
    <col min="1" max="1" width="10.140625" bestFit="1" customWidth="1"/>
    <col min="2" max="2" width="7.42578125" bestFit="1" customWidth="1"/>
    <col min="3" max="3" width="9.7109375" bestFit="1" customWidth="1"/>
    <col min="4" max="4" width="9.7109375" customWidth="1"/>
    <col min="5" max="5" width="9.85546875" customWidth="1"/>
    <col min="6" max="6" width="9.7109375" customWidth="1"/>
  </cols>
  <sheetData>
    <row r="1" spans="1:14" x14ac:dyDescent="0.25">
      <c r="A1" t="s">
        <v>0</v>
      </c>
      <c r="B1" t="s">
        <v>15</v>
      </c>
      <c r="C1" t="s">
        <v>31</v>
      </c>
      <c r="D1" t="s">
        <v>33</v>
      </c>
      <c r="E1" t="s">
        <v>34</v>
      </c>
      <c r="F1" t="s">
        <v>35</v>
      </c>
      <c r="H1" t="s">
        <v>36</v>
      </c>
      <c r="I1" t="s">
        <v>37</v>
      </c>
      <c r="J1" t="s">
        <v>38</v>
      </c>
      <c r="L1" t="s">
        <v>39</v>
      </c>
      <c r="M1" t="s">
        <v>40</v>
      </c>
      <c r="N1" t="s">
        <v>41</v>
      </c>
    </row>
    <row r="2" spans="1:14" x14ac:dyDescent="0.25">
      <c r="A2" s="1">
        <v>43110</v>
      </c>
      <c r="B2">
        <v>112.86</v>
      </c>
      <c r="C2" t="s">
        <v>30</v>
      </c>
      <c r="D2">
        <v>1</v>
      </c>
      <c r="E2">
        <f>0.0086* CurrExchange_2[[#This Row],[X3]] + 108.06</f>
        <v>108.0686</v>
      </c>
      <c r="F2">
        <f>(CurrExchange_2[[#This Row],[Курс]]-CurrExchange_2[[#This Row],[M3]])^2</f>
        <v>22.957513959999961</v>
      </c>
      <c r="H2">
        <v>1</v>
      </c>
      <c r="I2">
        <f>-0.1306*(ROW()-1)+111.65</f>
        <v>111.5194</v>
      </c>
      <c r="J2">
        <f>(CurrExchange_2[[#This Row],[Курс]]-I2)^2</f>
        <v>1.7972083599999864</v>
      </c>
      <c r="L2">
        <v>1</v>
      </c>
      <c r="M2">
        <f>0.0706*Model2[[#This Row],[X2]]+106.36</f>
        <v>106.4306</v>
      </c>
      <c r="N2">
        <f t="shared" ref="N2:N33" si="0">(B52-M2)^2</f>
        <v>1.9897923600000065</v>
      </c>
    </row>
    <row r="3" spans="1:14" x14ac:dyDescent="0.25">
      <c r="A3" s="1">
        <v>43111</v>
      </c>
      <c r="B3">
        <v>111.93</v>
      </c>
      <c r="C3" t="s">
        <v>30</v>
      </c>
      <c r="D3">
        <v>2</v>
      </c>
      <c r="E3">
        <f>0.0086* CurrExchange_2[[#This Row],[X3]] + 108.06</f>
        <v>108.0772</v>
      </c>
      <c r="F3">
        <f>(CurrExchange_2[[#This Row],[Курс]]-CurrExchange_2[[#This Row],[M3]])^2</f>
        <v>14.844067840000015</v>
      </c>
      <c r="H3">
        <v>2</v>
      </c>
      <c r="I3">
        <f t="shared" ref="I3:I13" si="1">-0.1306*(ROW()-1)+111.65</f>
        <v>111.3888</v>
      </c>
      <c r="J3">
        <f>(CurrExchange_2[[#This Row],[Курс]]-I3)^2</f>
        <v>0.29289744000000373</v>
      </c>
      <c r="L3">
        <v>2</v>
      </c>
      <c r="M3">
        <f>0.0706*Model2[[#This Row],[X2]]+106.36</f>
        <v>106.5012</v>
      </c>
      <c r="N3">
        <f t="shared" si="0"/>
        <v>1.9914854399999824</v>
      </c>
    </row>
    <row r="4" spans="1:14" x14ac:dyDescent="0.25">
      <c r="A4" s="1">
        <v>43112</v>
      </c>
      <c r="B4">
        <v>111.69</v>
      </c>
      <c r="C4" t="s">
        <v>30</v>
      </c>
      <c r="D4">
        <v>3</v>
      </c>
      <c r="E4">
        <f>0.0086* CurrExchange_2[[#This Row],[X3]] + 108.06</f>
        <v>108.08580000000001</v>
      </c>
      <c r="F4">
        <f>(CurrExchange_2[[#This Row],[Курс]]-CurrExchange_2[[#This Row],[M3]])^2</f>
        <v>12.990257639999939</v>
      </c>
      <c r="H4">
        <v>3</v>
      </c>
      <c r="I4">
        <f t="shared" si="1"/>
        <v>111.2582</v>
      </c>
      <c r="J4">
        <f>(CurrExchange_2[[#This Row],[Курс]]-I4)^2</f>
        <v>0.18645123999999613</v>
      </c>
      <c r="L4">
        <v>3</v>
      </c>
      <c r="M4">
        <f>0.0706*Model2[[#This Row],[X2]]+106.36</f>
        <v>106.5718</v>
      </c>
      <c r="N4">
        <f t="shared" si="0"/>
        <v>1.0853472399999895</v>
      </c>
    </row>
    <row r="5" spans="1:14" x14ac:dyDescent="0.25">
      <c r="A5" s="1">
        <v>43113</v>
      </c>
      <c r="B5">
        <v>111.26</v>
      </c>
      <c r="C5" t="s">
        <v>30</v>
      </c>
      <c r="D5">
        <v>4</v>
      </c>
      <c r="E5">
        <f>0.0086* CurrExchange_2[[#This Row],[X3]] + 108.06</f>
        <v>108.09440000000001</v>
      </c>
      <c r="F5">
        <f>(CurrExchange_2[[#This Row],[Курс]]-CurrExchange_2[[#This Row],[M3]])^2</f>
        <v>10.021023359999985</v>
      </c>
      <c r="H5">
        <v>4</v>
      </c>
      <c r="I5">
        <f t="shared" si="1"/>
        <v>111.1276</v>
      </c>
      <c r="J5">
        <f>(CurrExchange_2[[#This Row],[Курс]]-I5)^2</f>
        <v>1.7529760000001077E-2</v>
      </c>
      <c r="L5">
        <v>4</v>
      </c>
      <c r="M5">
        <f>0.0706*Model2[[#This Row],[X2]]+106.36</f>
        <v>106.64239999999999</v>
      </c>
      <c r="N5">
        <f t="shared" si="0"/>
        <v>1.1075457599999823</v>
      </c>
    </row>
    <row r="6" spans="1:14" x14ac:dyDescent="0.25">
      <c r="A6" s="1">
        <v>43116</v>
      </c>
      <c r="B6">
        <v>110.7</v>
      </c>
      <c r="C6" t="s">
        <v>30</v>
      </c>
      <c r="D6">
        <v>5</v>
      </c>
      <c r="E6">
        <f>0.0086* CurrExchange_2[[#This Row],[X3]] + 108.06</f>
        <v>108.10300000000001</v>
      </c>
      <c r="F6">
        <f>(CurrExchange_2[[#This Row],[Курс]]-CurrExchange_2[[#This Row],[M3]])^2</f>
        <v>6.7444089999999699</v>
      </c>
      <c r="H6">
        <v>5</v>
      </c>
      <c r="I6">
        <f t="shared" si="1"/>
        <v>110.997</v>
      </c>
      <c r="J6">
        <f>(CurrExchange_2[[#This Row],[Курс]]-I6)^2</f>
        <v>8.8208999999998247E-2</v>
      </c>
      <c r="L6">
        <v>5</v>
      </c>
      <c r="M6">
        <f>0.0706*Model2[[#This Row],[X2]]+106.36</f>
        <v>106.71299999999999</v>
      </c>
      <c r="N6">
        <f t="shared" si="0"/>
        <v>1.2768999999999897E-2</v>
      </c>
    </row>
    <row r="7" spans="1:14" x14ac:dyDescent="0.25">
      <c r="A7" s="1">
        <v>43117</v>
      </c>
      <c r="B7">
        <v>110.71</v>
      </c>
      <c r="C7" t="s">
        <v>30</v>
      </c>
      <c r="D7">
        <v>6</v>
      </c>
      <c r="E7">
        <f>0.0086* CurrExchange_2[[#This Row],[X3]] + 108.06</f>
        <v>108.1116</v>
      </c>
      <c r="F7">
        <f>(CurrExchange_2[[#This Row],[Курс]]-CurrExchange_2[[#This Row],[M3]])^2</f>
        <v>6.7516825599999901</v>
      </c>
      <c r="H7">
        <v>6</v>
      </c>
      <c r="I7">
        <f t="shared" si="1"/>
        <v>110.8664</v>
      </c>
      <c r="J7">
        <f>(CurrExchange_2[[#This Row],[Курс]]-I7)^2</f>
        <v>2.4460960000001558E-2</v>
      </c>
      <c r="L7">
        <v>6</v>
      </c>
      <c r="M7">
        <f>0.0706*Model2[[#This Row],[X2]]+106.36</f>
        <v>106.78359999999999</v>
      </c>
      <c r="N7">
        <f t="shared" si="0"/>
        <v>0.364332959999983</v>
      </c>
    </row>
    <row r="8" spans="1:14" x14ac:dyDescent="0.25">
      <c r="A8" s="1">
        <v>43118</v>
      </c>
      <c r="B8">
        <v>110.76</v>
      </c>
      <c r="C8" t="s">
        <v>30</v>
      </c>
      <c r="D8">
        <v>7</v>
      </c>
      <c r="E8">
        <f>0.0086* CurrExchange_2[[#This Row],[X3]] + 108.06</f>
        <v>108.1202</v>
      </c>
      <c r="F8">
        <f>(CurrExchange_2[[#This Row],[Курс]]-CurrExchange_2[[#This Row],[M3]])^2</f>
        <v>6.9685440400000429</v>
      </c>
      <c r="H8">
        <v>7</v>
      </c>
      <c r="I8">
        <f t="shared" si="1"/>
        <v>110.73580000000001</v>
      </c>
      <c r="J8">
        <f>(CurrExchange_2[[#This Row],[Курс]]-I8)^2</f>
        <v>5.8563999999967757E-4</v>
      </c>
      <c r="L8">
        <v>7</v>
      </c>
      <c r="M8">
        <f>0.0706*Model2[[#This Row],[X2]]+106.36</f>
        <v>106.85420000000001</v>
      </c>
      <c r="N8">
        <f t="shared" si="0"/>
        <v>0.30713764000000965</v>
      </c>
    </row>
    <row r="9" spans="1:14" x14ac:dyDescent="0.25">
      <c r="A9" s="1">
        <v>43119</v>
      </c>
      <c r="B9">
        <v>111.21</v>
      </c>
      <c r="C9" t="s">
        <v>30</v>
      </c>
      <c r="D9">
        <v>8</v>
      </c>
      <c r="E9">
        <f>0.0086* CurrExchange_2[[#This Row],[X3]] + 108.06</f>
        <v>108.1288</v>
      </c>
      <c r="F9">
        <f>(CurrExchange_2[[#This Row],[Курс]]-CurrExchange_2[[#This Row],[M3]])^2</f>
        <v>9.4937934399999726</v>
      </c>
      <c r="H9">
        <v>8</v>
      </c>
      <c r="I9">
        <f t="shared" si="1"/>
        <v>110.60520000000001</v>
      </c>
      <c r="J9">
        <f>(CurrExchange_2[[#This Row],[Курс]]-I9)^2</f>
        <v>0.36578303999997958</v>
      </c>
      <c r="L9">
        <v>8</v>
      </c>
      <c r="M9">
        <f>0.0706*Model2[[#This Row],[X2]]+106.36</f>
        <v>106.9248</v>
      </c>
      <c r="N9">
        <f t="shared" si="0"/>
        <v>0.61591104000000652</v>
      </c>
    </row>
    <row r="10" spans="1:14" x14ac:dyDescent="0.25">
      <c r="A10" s="1">
        <v>43120</v>
      </c>
      <c r="B10">
        <v>110.58</v>
      </c>
      <c r="C10" t="s">
        <v>30</v>
      </c>
      <c r="D10">
        <v>9</v>
      </c>
      <c r="E10">
        <f>0.0086* CurrExchange_2[[#This Row],[X3]] + 108.06</f>
        <v>108.1374</v>
      </c>
      <c r="F10">
        <f>(CurrExchange_2[[#This Row],[Курс]]-CurrExchange_2[[#This Row],[M3]])^2</f>
        <v>5.966294759999994</v>
      </c>
      <c r="H10">
        <v>9</v>
      </c>
      <c r="I10">
        <f t="shared" si="1"/>
        <v>110.47460000000001</v>
      </c>
      <c r="J10">
        <f>(CurrExchange_2[[#This Row],[Курс]]-I10)^2</f>
        <v>1.1109159999997646E-2</v>
      </c>
      <c r="L10">
        <v>9</v>
      </c>
      <c r="M10">
        <f>0.0706*Model2[[#This Row],[X2]]+106.36</f>
        <v>106.9954</v>
      </c>
      <c r="N10">
        <f t="shared" si="0"/>
        <v>0.81974916000000042</v>
      </c>
    </row>
    <row r="11" spans="1:14" x14ac:dyDescent="0.25">
      <c r="A11" s="1">
        <v>43123</v>
      </c>
      <c r="B11">
        <v>110.85</v>
      </c>
      <c r="C11" t="s">
        <v>30</v>
      </c>
      <c r="D11">
        <v>10</v>
      </c>
      <c r="E11">
        <f>0.0086* CurrExchange_2[[#This Row],[X3]] + 108.06</f>
        <v>108.146</v>
      </c>
      <c r="F11">
        <f>(CurrExchange_2[[#This Row],[Курс]]-CurrExchange_2[[#This Row],[M3]])^2</f>
        <v>7.3116159999999653</v>
      </c>
      <c r="H11">
        <v>10</v>
      </c>
      <c r="I11">
        <f t="shared" si="1"/>
        <v>110.34400000000001</v>
      </c>
      <c r="J11">
        <f>(CurrExchange_2[[#This Row],[Курс]]-I11)^2</f>
        <v>0.25603599999998583</v>
      </c>
      <c r="L11">
        <v>10</v>
      </c>
      <c r="M11">
        <f>0.0706*Model2[[#This Row],[X2]]+106.36</f>
        <v>107.066</v>
      </c>
      <c r="N11">
        <f t="shared" si="0"/>
        <v>1.9599999999988222E-4</v>
      </c>
    </row>
    <row r="12" spans="1:14" x14ac:dyDescent="0.25">
      <c r="A12" s="1">
        <v>43124</v>
      </c>
      <c r="B12">
        <v>110.95</v>
      </c>
      <c r="C12" t="s">
        <v>30</v>
      </c>
      <c r="D12">
        <v>11</v>
      </c>
      <c r="E12">
        <f>0.0086* CurrExchange_2[[#This Row],[X3]] + 108.06</f>
        <v>108.1546</v>
      </c>
      <c r="F12">
        <f>(CurrExchange_2[[#This Row],[Курс]]-CurrExchange_2[[#This Row],[M3]])^2</f>
        <v>7.8142611600000045</v>
      </c>
      <c r="H12">
        <v>11</v>
      </c>
      <c r="I12">
        <f t="shared" si="1"/>
        <v>110.21340000000001</v>
      </c>
      <c r="J12">
        <f>(CurrExchange_2[[#This Row],[Курс]]-I12)^2</f>
        <v>0.54257955999999363</v>
      </c>
      <c r="L12">
        <v>11</v>
      </c>
      <c r="M12">
        <f>0.0706*Model2[[#This Row],[X2]]+106.36</f>
        <v>107.1366</v>
      </c>
      <c r="N12">
        <f t="shared" si="0"/>
        <v>7.4747559999997382E-2</v>
      </c>
    </row>
    <row r="13" spans="1:14" x14ac:dyDescent="0.25">
      <c r="A13" s="1">
        <v>43125</v>
      </c>
      <c r="B13">
        <v>109.87</v>
      </c>
      <c r="C13" t="s">
        <v>30</v>
      </c>
      <c r="D13">
        <v>12</v>
      </c>
      <c r="E13">
        <f>0.0086* CurrExchange_2[[#This Row],[X3]] + 108.06</f>
        <v>108.1632</v>
      </c>
      <c r="F13">
        <f>(CurrExchange_2[[#This Row],[Курс]]-CurrExchange_2[[#This Row],[M3]])^2</f>
        <v>2.9131662400000042</v>
      </c>
      <c r="H13">
        <v>12</v>
      </c>
      <c r="I13">
        <f t="shared" si="1"/>
        <v>110.08280000000001</v>
      </c>
      <c r="J13">
        <f>(CurrExchange_2[[#This Row],[Курс]]-I13)^2</f>
        <v>4.5283840000000609E-2</v>
      </c>
      <c r="L13">
        <v>12</v>
      </c>
      <c r="M13">
        <f>0.0706*Model2[[#This Row],[X2]]+106.36</f>
        <v>107.2072</v>
      </c>
      <c r="N13">
        <f t="shared" si="0"/>
        <v>3.271839999999381E-3</v>
      </c>
    </row>
    <row r="14" spans="1:14" x14ac:dyDescent="0.25">
      <c r="A14" s="1">
        <v>43126</v>
      </c>
      <c r="B14">
        <v>109.12</v>
      </c>
      <c r="C14" t="s">
        <v>30</v>
      </c>
      <c r="D14">
        <v>13</v>
      </c>
      <c r="E14">
        <f>0.0086* CurrExchange_2[[#This Row],[X3]] + 108.06</f>
        <v>108.1718</v>
      </c>
      <c r="F14">
        <f>(CurrExchange_2[[#This Row],[Курс]]-CurrExchange_2[[#This Row],[M3]])^2</f>
        <v>0.89908323999999984</v>
      </c>
      <c r="H14">
        <v>13</v>
      </c>
      <c r="I14">
        <f t="shared" ref="I14:I32" si="2">-0.1306*(ROW()-1)+111.65</f>
        <v>109.9522</v>
      </c>
      <c r="J14">
        <f>(CurrExchange_2[[#This Row],[Курс]]-I14)^2</f>
        <v>0.69255684000000051</v>
      </c>
      <c r="L14">
        <v>13</v>
      </c>
      <c r="M14">
        <f>0.0706*Model2[[#This Row],[X2]]+106.36</f>
        <v>107.2778</v>
      </c>
      <c r="N14">
        <f t="shared" si="0"/>
        <v>5.1892840000000912E-2</v>
      </c>
    </row>
    <row r="15" spans="1:14" x14ac:dyDescent="0.25">
      <c r="A15" s="1">
        <v>43127</v>
      </c>
      <c r="B15">
        <v>108.98</v>
      </c>
      <c r="C15" t="s">
        <v>30</v>
      </c>
      <c r="D15">
        <v>14</v>
      </c>
      <c r="E15">
        <f>0.0086* CurrExchange_2[[#This Row],[X3]] + 108.06</f>
        <v>108.18040000000001</v>
      </c>
      <c r="F15">
        <f>(CurrExchange_2[[#This Row],[Курс]]-CurrExchange_2[[#This Row],[M3]])^2</f>
        <v>0.63936015999999696</v>
      </c>
      <c r="H15">
        <v>14</v>
      </c>
      <c r="I15">
        <f t="shared" si="2"/>
        <v>109.8216</v>
      </c>
      <c r="J15">
        <f>(CurrExchange_2[[#This Row],[Курс]]-I15)^2</f>
        <v>0.70829055999999946</v>
      </c>
      <c r="L15">
        <v>14</v>
      </c>
      <c r="M15">
        <f>0.0706*Model2[[#This Row],[X2]]+106.36</f>
        <v>107.3484</v>
      </c>
      <c r="N15">
        <f t="shared" si="0"/>
        <v>0.19219456000000126</v>
      </c>
    </row>
    <row r="16" spans="1:14" x14ac:dyDescent="0.25">
      <c r="A16" s="1">
        <v>43130</v>
      </c>
      <c r="B16">
        <v>108.97</v>
      </c>
      <c r="C16" t="s">
        <v>30</v>
      </c>
      <c r="D16">
        <v>15</v>
      </c>
      <c r="E16">
        <f>0.0086* CurrExchange_2[[#This Row],[X3]] + 108.06</f>
        <v>108.18900000000001</v>
      </c>
      <c r="F16">
        <f>(CurrExchange_2[[#This Row],[Курс]]-CurrExchange_2[[#This Row],[M3]])^2</f>
        <v>0.60996099999998699</v>
      </c>
      <c r="H16">
        <v>15</v>
      </c>
      <c r="I16">
        <f t="shared" si="2"/>
        <v>109.691</v>
      </c>
      <c r="J16">
        <f>(CurrExchange_2[[#This Row],[Курс]]-I16)^2</f>
        <v>0.51984100000000522</v>
      </c>
      <c r="L16">
        <v>15</v>
      </c>
      <c r="M16">
        <f>0.0706*Model2[[#This Row],[X2]]+106.36</f>
        <v>107.419</v>
      </c>
      <c r="N16">
        <f t="shared" si="0"/>
        <v>0.26936099999999091</v>
      </c>
    </row>
    <row r="17" spans="1:14" x14ac:dyDescent="0.25">
      <c r="A17" s="1">
        <v>43131</v>
      </c>
      <c r="B17">
        <v>108.76</v>
      </c>
      <c r="C17" t="s">
        <v>30</v>
      </c>
      <c r="D17">
        <v>16</v>
      </c>
      <c r="E17">
        <f>0.0086* CurrExchange_2[[#This Row],[X3]] + 108.06</f>
        <v>108.19760000000001</v>
      </c>
      <c r="F17">
        <f>(CurrExchange_2[[#This Row],[Курс]]-CurrExchange_2[[#This Row],[M3]])^2</f>
        <v>0.31629375999999626</v>
      </c>
      <c r="H17">
        <v>16</v>
      </c>
      <c r="I17">
        <f t="shared" si="2"/>
        <v>109.5604</v>
      </c>
      <c r="J17">
        <f>(CurrExchange_2[[#This Row],[Курс]]-I17)^2</f>
        <v>0.64064015999999391</v>
      </c>
      <c r="L17">
        <v>16</v>
      </c>
      <c r="M17">
        <f>0.0706*Model2[[#This Row],[X2]]+106.36</f>
        <v>107.4896</v>
      </c>
      <c r="N17">
        <f t="shared" si="0"/>
        <v>1.7004160000002277E-2</v>
      </c>
    </row>
    <row r="18" spans="1:14" x14ac:dyDescent="0.25">
      <c r="A18" s="1">
        <v>43132</v>
      </c>
      <c r="B18">
        <v>108.69</v>
      </c>
      <c r="C18" t="s">
        <v>30</v>
      </c>
      <c r="D18">
        <v>17</v>
      </c>
      <c r="E18">
        <f>0.0086* CurrExchange_2[[#This Row],[X3]] + 108.06</f>
        <v>108.2062</v>
      </c>
      <c r="F18">
        <f>(CurrExchange_2[[#This Row],[Курс]]-CurrExchange_2[[#This Row],[M3]])^2</f>
        <v>0.23406244000000215</v>
      </c>
      <c r="H18">
        <v>17</v>
      </c>
      <c r="I18">
        <f t="shared" si="2"/>
        <v>109.4298</v>
      </c>
      <c r="J18">
        <f>(CurrExchange_2[[#This Row],[Курс]]-I18)^2</f>
        <v>0.54730404000000366</v>
      </c>
      <c r="L18">
        <v>17</v>
      </c>
      <c r="M18">
        <f>0.0706*Model2[[#This Row],[X2]]+106.36</f>
        <v>107.56019999999999</v>
      </c>
      <c r="N18">
        <f t="shared" si="0"/>
        <v>0.11573603999999717</v>
      </c>
    </row>
    <row r="19" spans="1:14" x14ac:dyDescent="0.25">
      <c r="A19" s="1">
        <v>43133</v>
      </c>
      <c r="B19">
        <v>109.54</v>
      </c>
      <c r="C19" t="s">
        <v>30</v>
      </c>
      <c r="D19">
        <v>18</v>
      </c>
      <c r="E19">
        <f>0.0086* CurrExchange_2[[#This Row],[X3]] + 108.06</f>
        <v>108.2148</v>
      </c>
      <c r="F19">
        <f>(CurrExchange_2[[#This Row],[Курс]]-CurrExchange_2[[#This Row],[M3]])^2</f>
        <v>1.7561550400000252</v>
      </c>
      <c r="H19">
        <v>18</v>
      </c>
      <c r="I19">
        <f t="shared" si="2"/>
        <v>109.2992</v>
      </c>
      <c r="J19">
        <f>(CurrExchange_2[[#This Row],[Курс]]-I19)^2</f>
        <v>5.798464000000348E-2</v>
      </c>
      <c r="L19">
        <v>18</v>
      </c>
      <c r="M19">
        <f>0.0706*Model2[[#This Row],[X2]]+106.36</f>
        <v>107.63079999999999</v>
      </c>
      <c r="N19">
        <f t="shared" si="0"/>
        <v>0.41062463999999832</v>
      </c>
    </row>
    <row r="20" spans="1:14" x14ac:dyDescent="0.25">
      <c r="A20" s="1">
        <v>43134</v>
      </c>
      <c r="B20">
        <v>109.76</v>
      </c>
      <c r="C20" t="s">
        <v>30</v>
      </c>
      <c r="D20">
        <v>19</v>
      </c>
      <c r="E20">
        <f>0.0086* CurrExchange_2[[#This Row],[X3]] + 108.06</f>
        <v>108.2234</v>
      </c>
      <c r="F20">
        <f>(CurrExchange_2[[#This Row],[Курс]]-CurrExchange_2[[#This Row],[M3]])^2</f>
        <v>2.3611395600000216</v>
      </c>
      <c r="H20">
        <v>19</v>
      </c>
      <c r="I20">
        <f t="shared" si="2"/>
        <v>109.16860000000001</v>
      </c>
      <c r="J20">
        <f>(CurrExchange_2[[#This Row],[Курс]]-I20)^2</f>
        <v>0.34975395999999176</v>
      </c>
      <c r="L20">
        <v>19</v>
      </c>
      <c r="M20">
        <f>0.0706*Model2[[#This Row],[X2]]+106.36</f>
        <v>107.70139999999999</v>
      </c>
      <c r="N20">
        <f t="shared" si="0"/>
        <v>0.13793795999999567</v>
      </c>
    </row>
    <row r="21" spans="1:14" x14ac:dyDescent="0.25">
      <c r="A21" s="1">
        <v>43137</v>
      </c>
      <c r="B21">
        <v>109.86</v>
      </c>
      <c r="C21" t="s">
        <v>30</v>
      </c>
      <c r="D21">
        <v>20</v>
      </c>
      <c r="E21">
        <f>0.0086* CurrExchange_2[[#This Row],[X3]] + 108.06</f>
        <v>108.232</v>
      </c>
      <c r="F21">
        <f>(CurrExchange_2[[#This Row],[Курс]]-CurrExchange_2[[#This Row],[M3]])^2</f>
        <v>2.6503840000000003</v>
      </c>
      <c r="H21">
        <v>20</v>
      </c>
      <c r="I21">
        <f t="shared" si="2"/>
        <v>109.03800000000001</v>
      </c>
      <c r="J21">
        <f>(CurrExchange_2[[#This Row],[Курс]]-I21)^2</f>
        <v>0.67568399999998108</v>
      </c>
      <c r="L21">
        <v>20</v>
      </c>
      <c r="M21">
        <f>0.0706*Model2[[#This Row],[X2]]+106.36</f>
        <v>107.77200000000001</v>
      </c>
      <c r="N21">
        <f t="shared" si="0"/>
        <v>0.17808400000000951</v>
      </c>
    </row>
    <row r="22" spans="1:14" x14ac:dyDescent="0.25">
      <c r="A22" s="1">
        <v>43138</v>
      </c>
      <c r="B22">
        <v>109.23</v>
      </c>
      <c r="C22" t="s">
        <v>30</v>
      </c>
      <c r="D22">
        <v>21</v>
      </c>
      <c r="E22">
        <f>0.0086* CurrExchange_2[[#This Row],[X3]] + 108.06</f>
        <v>108.2406</v>
      </c>
      <c r="F22">
        <f>(CurrExchange_2[[#This Row],[Курс]]-CurrExchange_2[[#This Row],[M3]])^2</f>
        <v>0.9789123600000067</v>
      </c>
      <c r="H22">
        <v>21</v>
      </c>
      <c r="I22">
        <f t="shared" si="2"/>
        <v>108.90740000000001</v>
      </c>
      <c r="J22">
        <f>(CurrExchange_2[[#This Row],[Курс]]-I22)^2</f>
        <v>0.10407075999999628</v>
      </c>
      <c r="L22">
        <v>21</v>
      </c>
      <c r="M22">
        <f>0.0706*Model2[[#This Row],[X2]]+106.36</f>
        <v>107.8426</v>
      </c>
      <c r="N22">
        <f t="shared" si="0"/>
        <v>7.986276000000124E-2</v>
      </c>
    </row>
    <row r="23" spans="1:14" x14ac:dyDescent="0.25">
      <c r="A23" s="1">
        <v>43139</v>
      </c>
      <c r="B23">
        <v>109.01</v>
      </c>
      <c r="C23" t="s">
        <v>30</v>
      </c>
      <c r="D23">
        <v>22</v>
      </c>
      <c r="E23">
        <f>0.0086* CurrExchange_2[[#This Row],[X3]] + 108.06</f>
        <v>108.2492</v>
      </c>
      <c r="F23">
        <f>(CurrExchange_2[[#This Row],[Курс]]-CurrExchange_2[[#This Row],[M3]])^2</f>
        <v>0.57881664000000499</v>
      </c>
      <c r="H23">
        <v>22</v>
      </c>
      <c r="I23">
        <f t="shared" si="2"/>
        <v>108.77680000000001</v>
      </c>
      <c r="J23">
        <f>(CurrExchange_2[[#This Row],[Курс]]-I23)^2</f>
        <v>5.4382239999998375E-2</v>
      </c>
      <c r="L23">
        <v>22</v>
      </c>
      <c r="M23">
        <f>0.0706*Model2[[#This Row],[X2]]+106.36</f>
        <v>107.9132</v>
      </c>
      <c r="N23">
        <f t="shared" si="0"/>
        <v>1.8662399999998958E-3</v>
      </c>
    </row>
    <row r="24" spans="1:14" x14ac:dyDescent="0.25">
      <c r="A24" s="1">
        <v>43140</v>
      </c>
      <c r="B24">
        <v>109.72</v>
      </c>
      <c r="C24" t="s">
        <v>30</v>
      </c>
      <c r="D24">
        <v>23</v>
      </c>
      <c r="E24">
        <f>0.0086* CurrExchange_2[[#This Row],[X3]] + 108.06</f>
        <v>108.2578</v>
      </c>
      <c r="F24">
        <f>(CurrExchange_2[[#This Row],[Курс]]-CurrExchange_2[[#This Row],[M3]])^2</f>
        <v>2.1380288399999876</v>
      </c>
      <c r="H24">
        <v>23</v>
      </c>
      <c r="I24">
        <f t="shared" si="2"/>
        <v>108.64620000000001</v>
      </c>
      <c r="J24">
        <f>(CurrExchange_2[[#This Row],[Курс]]-I24)^2</f>
        <v>1.1530464399999816</v>
      </c>
      <c r="L24">
        <v>23</v>
      </c>
      <c r="M24">
        <f>0.0706*Model2[[#This Row],[X2]]+106.36</f>
        <v>107.9838</v>
      </c>
      <c r="N24">
        <f t="shared" si="0"/>
        <v>0.7160544399999933</v>
      </c>
    </row>
    <row r="25" spans="1:14" x14ac:dyDescent="0.25">
      <c r="A25" s="1">
        <v>43141</v>
      </c>
      <c r="B25">
        <v>109.25</v>
      </c>
      <c r="C25" t="s">
        <v>30</v>
      </c>
      <c r="D25">
        <v>24</v>
      </c>
      <c r="E25">
        <f>0.0086* CurrExchange_2[[#This Row],[X3]] + 108.06</f>
        <v>108.2664</v>
      </c>
      <c r="F25">
        <f>(CurrExchange_2[[#This Row],[Курс]]-CurrExchange_2[[#This Row],[M3]])^2</f>
        <v>0.96746895999999127</v>
      </c>
      <c r="H25">
        <v>24</v>
      </c>
      <c r="I25">
        <f t="shared" si="2"/>
        <v>108.51560000000001</v>
      </c>
      <c r="J25">
        <f>(CurrExchange_2[[#This Row],[Курс]]-I25)^2</f>
        <v>0.53934335999999083</v>
      </c>
      <c r="L25">
        <v>24</v>
      </c>
      <c r="M25">
        <f>0.0706*Model2[[#This Row],[X2]]+106.36</f>
        <v>108.0544</v>
      </c>
      <c r="N25">
        <f t="shared" si="0"/>
        <v>1.3586233599999948</v>
      </c>
    </row>
    <row r="26" spans="1:14" x14ac:dyDescent="0.25">
      <c r="A26" s="1">
        <v>43144</v>
      </c>
      <c r="B26">
        <v>108.6</v>
      </c>
      <c r="C26" t="s">
        <v>30</v>
      </c>
      <c r="D26">
        <v>25</v>
      </c>
      <c r="E26">
        <f>0.0086* CurrExchange_2[[#This Row],[X3]] + 108.06</f>
        <v>108.27500000000001</v>
      </c>
      <c r="F26">
        <f>(CurrExchange_2[[#This Row],[Курс]]-CurrExchange_2[[#This Row],[M3]])^2</f>
        <v>0.10562499999999261</v>
      </c>
      <c r="H26">
        <v>25</v>
      </c>
      <c r="I26">
        <f t="shared" si="2"/>
        <v>108.38500000000001</v>
      </c>
      <c r="J26">
        <f>(CurrExchange_2[[#This Row],[Курс]]-I26)^2</f>
        <v>4.6224999999995353E-2</v>
      </c>
      <c r="L26">
        <v>25</v>
      </c>
      <c r="M26">
        <f>0.0706*Model2[[#This Row],[X2]]+106.36</f>
        <v>108.125</v>
      </c>
      <c r="N26">
        <f t="shared" si="0"/>
        <v>1.4762250000000083</v>
      </c>
    </row>
    <row r="27" spans="1:14" x14ac:dyDescent="0.25">
      <c r="A27" s="1">
        <v>43145</v>
      </c>
      <c r="B27">
        <v>107.62</v>
      </c>
      <c r="C27" t="s">
        <v>30</v>
      </c>
      <c r="D27">
        <v>26</v>
      </c>
      <c r="E27">
        <f>0.0086* CurrExchange_2[[#This Row],[X3]] + 108.06</f>
        <v>108.28360000000001</v>
      </c>
      <c r="F27">
        <f>(CurrExchange_2[[#This Row],[Курс]]-CurrExchange_2[[#This Row],[M3]])^2</f>
        <v>0.44036496000000319</v>
      </c>
      <c r="H27">
        <v>26</v>
      </c>
      <c r="I27">
        <f t="shared" si="2"/>
        <v>108.2544</v>
      </c>
      <c r="J27">
        <f>(CurrExchange_2[[#This Row],[Курс]]-I27)^2</f>
        <v>0.40246335999999927</v>
      </c>
      <c r="L27">
        <v>26</v>
      </c>
      <c r="M27">
        <f>0.0706*Model2[[#This Row],[X2]]+106.36</f>
        <v>108.1956</v>
      </c>
      <c r="N27">
        <f t="shared" si="0"/>
        <v>1.2868633599999986</v>
      </c>
    </row>
    <row r="28" spans="1:14" x14ac:dyDescent="0.25">
      <c r="A28" s="1">
        <v>43146</v>
      </c>
      <c r="B28">
        <v>107.37</v>
      </c>
      <c r="C28" t="s">
        <v>30</v>
      </c>
      <c r="D28">
        <v>27</v>
      </c>
      <c r="E28">
        <f>0.0086* CurrExchange_2[[#This Row],[X3]] + 108.06</f>
        <v>108.29220000000001</v>
      </c>
      <c r="F28">
        <f>(CurrExchange_2[[#This Row],[Курс]]-CurrExchange_2[[#This Row],[M3]])^2</f>
        <v>0.85045284000000676</v>
      </c>
      <c r="H28">
        <v>27</v>
      </c>
      <c r="I28">
        <f t="shared" si="2"/>
        <v>108.1238</v>
      </c>
      <c r="J28">
        <f>(CurrExchange_2[[#This Row],[Курс]]-I28)^2</f>
        <v>0.56821443999999732</v>
      </c>
      <c r="L28">
        <v>27</v>
      </c>
      <c r="M28">
        <f>0.0706*Model2[[#This Row],[X2]]+106.36</f>
        <v>108.2662</v>
      </c>
      <c r="N28">
        <f t="shared" si="0"/>
        <v>0.59876644000001311</v>
      </c>
    </row>
    <row r="29" spans="1:14" x14ac:dyDescent="0.25">
      <c r="A29" s="1">
        <v>43147</v>
      </c>
      <c r="B29">
        <v>106.46</v>
      </c>
      <c r="C29" t="s">
        <v>30</v>
      </c>
      <c r="D29">
        <v>28</v>
      </c>
      <c r="E29">
        <f>0.0086* CurrExchange_2[[#This Row],[X3]] + 108.06</f>
        <v>108.3008</v>
      </c>
      <c r="F29">
        <f>(CurrExchange_2[[#This Row],[Курс]]-CurrExchange_2[[#This Row],[M3]])^2</f>
        <v>3.3885446400000059</v>
      </c>
      <c r="H29">
        <v>28</v>
      </c>
      <c r="I29">
        <f t="shared" si="2"/>
        <v>107.9932</v>
      </c>
      <c r="J29">
        <f>(CurrExchange_2[[#This Row],[Курс]]-I29)^2</f>
        <v>2.3507022400000244</v>
      </c>
      <c r="L29">
        <v>28</v>
      </c>
      <c r="M29">
        <f>0.0706*Model2[[#This Row],[X2]]+106.36</f>
        <v>108.3368</v>
      </c>
      <c r="N29">
        <f t="shared" si="0"/>
        <v>1.7508582399999999</v>
      </c>
    </row>
    <row r="30" spans="1:14" x14ac:dyDescent="0.25">
      <c r="A30" s="1">
        <v>43148</v>
      </c>
      <c r="B30">
        <v>105.89</v>
      </c>
      <c r="C30" t="s">
        <v>30</v>
      </c>
      <c r="D30">
        <v>29</v>
      </c>
      <c r="E30">
        <f>0.0086* CurrExchange_2[[#This Row],[X3]] + 108.06</f>
        <v>108.3094</v>
      </c>
      <c r="F30">
        <f>(CurrExchange_2[[#This Row],[Курс]]-CurrExchange_2[[#This Row],[M3]])^2</f>
        <v>5.8534963599999807</v>
      </c>
      <c r="H30">
        <v>29</v>
      </c>
      <c r="I30">
        <f t="shared" si="2"/>
        <v>107.8626</v>
      </c>
      <c r="J30">
        <f>(CurrExchange_2[[#This Row],[Курс]]-I30)^2</f>
        <v>3.8911507599999995</v>
      </c>
      <c r="L30">
        <v>29</v>
      </c>
      <c r="M30">
        <f>0.0706*Model2[[#This Row],[X2]]+106.36</f>
        <v>108.4074</v>
      </c>
      <c r="N30">
        <f t="shared" si="0"/>
        <v>0.46594276000001073</v>
      </c>
    </row>
    <row r="31" spans="1:14" x14ac:dyDescent="0.25">
      <c r="A31" s="1">
        <v>43151</v>
      </c>
      <c r="B31">
        <v>106.58</v>
      </c>
      <c r="C31" t="s">
        <v>30</v>
      </c>
      <c r="D31">
        <v>30</v>
      </c>
      <c r="E31">
        <f>0.0086* CurrExchange_2[[#This Row],[X3]] + 108.06</f>
        <v>108.318</v>
      </c>
      <c r="F31">
        <f>(CurrExchange_2[[#This Row],[Курс]]-CurrExchange_2[[#This Row],[M3]])^2</f>
        <v>3.0206439999999986</v>
      </c>
      <c r="H31">
        <v>30</v>
      </c>
      <c r="I31">
        <f t="shared" si="2"/>
        <v>107.732</v>
      </c>
      <c r="J31">
        <f>(CurrExchange_2[[#This Row],[Курс]]-I31)^2</f>
        <v>1.3271040000000023</v>
      </c>
      <c r="L31">
        <v>30</v>
      </c>
      <c r="M31">
        <f>0.0706*Model2[[#This Row],[X2]]+106.36</f>
        <v>108.47799999999999</v>
      </c>
      <c r="N31">
        <f t="shared" si="0"/>
        <v>0.58064400000000072</v>
      </c>
    </row>
    <row r="32" spans="1:14" x14ac:dyDescent="0.25">
      <c r="A32" s="1">
        <v>43152</v>
      </c>
      <c r="B32">
        <v>107.08</v>
      </c>
      <c r="C32" t="s">
        <v>30</v>
      </c>
      <c r="D32">
        <v>31</v>
      </c>
      <c r="E32">
        <f>0.0086* CurrExchange_2[[#This Row],[X3]] + 108.06</f>
        <v>108.3266</v>
      </c>
      <c r="F32">
        <f>(CurrExchange_2[[#This Row],[Курс]]-CurrExchange_2[[#This Row],[M3]])^2</f>
        <v>1.554011560000002</v>
      </c>
      <c r="H32">
        <v>31</v>
      </c>
      <c r="I32">
        <f t="shared" si="2"/>
        <v>107.60140000000001</v>
      </c>
      <c r="J32">
        <f>(CurrExchange_2[[#This Row],[Курс]]-I32)^2</f>
        <v>0.27185796000001466</v>
      </c>
      <c r="L32">
        <v>31</v>
      </c>
      <c r="M32">
        <f>0.0706*Model2[[#This Row],[X2]]+106.36</f>
        <v>108.54859999999999</v>
      </c>
      <c r="N32">
        <f t="shared" si="0"/>
        <v>0.19483396000000139</v>
      </c>
    </row>
    <row r="33" spans="1:23" x14ac:dyDescent="0.25">
      <c r="A33" s="1">
        <v>43153</v>
      </c>
      <c r="B33">
        <v>107.67</v>
      </c>
      <c r="C33" t="s">
        <v>30</v>
      </c>
      <c r="D33">
        <v>32</v>
      </c>
      <c r="E33">
        <f>0.0086* CurrExchange_2[[#This Row],[X3]] + 108.06</f>
        <v>108.3352</v>
      </c>
      <c r="F33">
        <f>(CurrExchange_2[[#This Row],[Курс]]-CurrExchange_2[[#This Row],[M3]])^2</f>
        <v>0.44249103999999823</v>
      </c>
      <c r="H33">
        <v>32</v>
      </c>
      <c r="I33">
        <f t="shared" ref="I33:I34" si="3">-0.1306*(ROW()-1)+111.65</f>
        <v>107.47080000000001</v>
      </c>
      <c r="J33">
        <f>(CurrExchange_2[[#This Row],[Курс]]-I33)^2</f>
        <v>3.9680639999996214E-2</v>
      </c>
      <c r="L33">
        <v>32</v>
      </c>
      <c r="M33">
        <f>0.0706*Model2[[#This Row],[X2]]+106.36</f>
        <v>108.61920000000001</v>
      </c>
      <c r="N33">
        <f t="shared" si="0"/>
        <v>1.5395846399999826</v>
      </c>
    </row>
    <row r="34" spans="1:23" x14ac:dyDescent="0.25">
      <c r="A34" s="1">
        <v>43154</v>
      </c>
      <c r="B34">
        <v>107.34</v>
      </c>
      <c r="C34" t="s">
        <v>30</v>
      </c>
      <c r="D34">
        <v>33</v>
      </c>
      <c r="E34">
        <f>0.0086* CurrExchange_2[[#This Row],[X3]] + 108.06</f>
        <v>108.3438</v>
      </c>
      <c r="F34">
        <f>(CurrExchange_2[[#This Row],[Курс]]-CurrExchange_2[[#This Row],[M3]])^2</f>
        <v>1.0076144399999964</v>
      </c>
      <c r="H34">
        <v>33</v>
      </c>
      <c r="I34">
        <f t="shared" si="3"/>
        <v>107.34020000000001</v>
      </c>
      <c r="J34">
        <f>(CurrExchange_2[[#This Row],[Курс]]-I34)^2</f>
        <v>4.0000000002655727E-8</v>
      </c>
      <c r="L34">
        <v>33</v>
      </c>
      <c r="M34">
        <f>0.0706*Model2[[#This Row],[X2]]+106.36</f>
        <v>108.68980000000001</v>
      </c>
      <c r="N34">
        <f t="shared" ref="N34:N65" si="4">(B84-M34)^2</f>
        <v>0.44916803999999216</v>
      </c>
    </row>
    <row r="35" spans="1:23" x14ac:dyDescent="0.25">
      <c r="A35" s="1">
        <v>43158</v>
      </c>
      <c r="B35">
        <v>106.63</v>
      </c>
      <c r="C35" t="s">
        <v>30</v>
      </c>
      <c r="D35">
        <v>34</v>
      </c>
      <c r="E35">
        <f>0.0086* CurrExchange_2[[#This Row],[X3]] + 108.06</f>
        <v>108.3524</v>
      </c>
      <c r="F35">
        <f>(CurrExchange_2[[#This Row],[Курс]]-CurrExchange_2[[#This Row],[M3]])^2</f>
        <v>2.9666617600000258</v>
      </c>
      <c r="H35">
        <v>34</v>
      </c>
      <c r="I35">
        <f t="shared" ref="I35:I47" si="5">-0.1306*(ROW()-1)+111.65</f>
        <v>107.20960000000001</v>
      </c>
      <c r="J35">
        <f>(CurrExchange_2[[#This Row],[Курс]]-I35)^2</f>
        <v>0.33593616000001558</v>
      </c>
      <c r="L35">
        <v>34</v>
      </c>
      <c r="M35">
        <f>0.0706*Model2[[#This Row],[X2]]+106.36</f>
        <v>108.7604</v>
      </c>
      <c r="N35">
        <f t="shared" si="4"/>
        <v>0.62346815999998895</v>
      </c>
      <c r="P35" s="19" t="s">
        <v>32</v>
      </c>
    </row>
    <row r="36" spans="1:23" x14ac:dyDescent="0.25">
      <c r="A36" s="1">
        <v>43159</v>
      </c>
      <c r="B36">
        <v>107.07</v>
      </c>
      <c r="C36" t="s">
        <v>30</v>
      </c>
      <c r="D36">
        <v>35</v>
      </c>
      <c r="E36">
        <f>0.0086* CurrExchange_2[[#This Row],[X3]] + 108.06</f>
        <v>108.361</v>
      </c>
      <c r="F36">
        <f>(CurrExchange_2[[#This Row],[Курс]]-CurrExchange_2[[#This Row],[M3]])^2</f>
        <v>1.6666810000000285</v>
      </c>
      <c r="H36">
        <v>35</v>
      </c>
      <c r="I36">
        <f t="shared" si="5"/>
        <v>107.07900000000001</v>
      </c>
      <c r="J36">
        <f>(CurrExchange_2[[#This Row],[Курс]]-I36)^2</f>
        <v>8.1000000000261933E-5</v>
      </c>
      <c r="L36">
        <v>35</v>
      </c>
      <c r="M36">
        <f>0.0706*Model2[[#This Row],[X2]]+106.36</f>
        <v>108.831</v>
      </c>
      <c r="N36">
        <f t="shared" si="4"/>
        <v>1.0795210000000031</v>
      </c>
    </row>
    <row r="37" spans="1:23" x14ac:dyDescent="0.25">
      <c r="A37" s="1">
        <v>43160</v>
      </c>
      <c r="B37">
        <v>107.15</v>
      </c>
      <c r="C37" t="s">
        <v>30</v>
      </c>
      <c r="D37">
        <v>36</v>
      </c>
      <c r="E37">
        <f>0.0086* CurrExchange_2[[#This Row],[X3]] + 108.06</f>
        <v>108.36960000000001</v>
      </c>
      <c r="F37">
        <f>(CurrExchange_2[[#This Row],[Курс]]-CurrExchange_2[[#This Row],[M3]])^2</f>
        <v>1.4874241599999996</v>
      </c>
      <c r="H37">
        <v>36</v>
      </c>
      <c r="I37">
        <f t="shared" si="5"/>
        <v>106.94840000000001</v>
      </c>
      <c r="J37">
        <f>(CurrExchange_2[[#This Row],[Курс]]-I37)^2</f>
        <v>4.064255999999964E-2</v>
      </c>
      <c r="L37">
        <v>36</v>
      </c>
      <c r="M37">
        <f>0.0706*Model2[[#This Row],[X2]]+106.36</f>
        <v>108.9016</v>
      </c>
      <c r="N37">
        <f t="shared" si="4"/>
        <v>1.6343065600000124</v>
      </c>
      <c r="P37" t="s">
        <v>47</v>
      </c>
      <c r="Q37" t="s">
        <v>43</v>
      </c>
      <c r="R37" t="s">
        <v>44</v>
      </c>
      <c r="S37" t="s">
        <v>45</v>
      </c>
      <c r="T37" t="s">
        <v>46</v>
      </c>
      <c r="U37" t="s">
        <v>59</v>
      </c>
    </row>
    <row r="38" spans="1:23" x14ac:dyDescent="0.25">
      <c r="A38" s="1">
        <v>43161</v>
      </c>
      <c r="B38">
        <v>106.8</v>
      </c>
      <c r="C38" t="s">
        <v>30</v>
      </c>
      <c r="D38">
        <v>37</v>
      </c>
      <c r="E38">
        <f>0.0086* CurrExchange_2[[#This Row],[X3]] + 108.06</f>
        <v>108.37820000000001</v>
      </c>
      <c r="F38">
        <f>(CurrExchange_2[[#This Row],[Курс]]-CurrExchange_2[[#This Row],[M3]])^2</f>
        <v>2.4907152400000303</v>
      </c>
      <c r="H38">
        <v>37</v>
      </c>
      <c r="I38">
        <f t="shared" si="5"/>
        <v>106.81780000000001</v>
      </c>
      <c r="J38">
        <f>(CurrExchange_2[[#This Row],[Курс]]-I38)^2</f>
        <v>3.1684000000029385E-4</v>
      </c>
      <c r="L38">
        <v>37</v>
      </c>
      <c r="M38">
        <f>0.0706*Model2[[#This Row],[X2]]+106.36</f>
        <v>108.9722</v>
      </c>
      <c r="N38">
        <f t="shared" si="4"/>
        <v>2.8150128400000161</v>
      </c>
      <c r="P38">
        <v>1</v>
      </c>
      <c r="Q38">
        <f>ROWS(Model1[])</f>
        <v>50</v>
      </c>
      <c r="R38">
        <v>2</v>
      </c>
      <c r="S38">
        <f>Model1[[#Totals],[S1]]</f>
        <v>25.56136099999992</v>
      </c>
      <c r="T38">
        <f>Q38-R38</f>
        <v>48</v>
      </c>
      <c r="U38" t="s">
        <v>60</v>
      </c>
    </row>
    <row r="39" spans="1:23" x14ac:dyDescent="0.25">
      <c r="A39" s="1">
        <v>43162</v>
      </c>
      <c r="B39">
        <v>105.79</v>
      </c>
      <c r="C39" t="s">
        <v>30</v>
      </c>
      <c r="D39">
        <v>38</v>
      </c>
      <c r="E39">
        <f>0.0086* CurrExchange_2[[#This Row],[X3]] + 108.06</f>
        <v>108.38680000000001</v>
      </c>
      <c r="F39">
        <f>(CurrExchange_2[[#This Row],[Курс]]-CurrExchange_2[[#This Row],[M3]])^2</f>
        <v>6.7433702400000088</v>
      </c>
      <c r="H39">
        <v>38</v>
      </c>
      <c r="I39">
        <f t="shared" si="5"/>
        <v>106.6872</v>
      </c>
      <c r="J39">
        <f>(CurrExchange_2[[#This Row],[Курс]]-I39)^2</f>
        <v>0.80496783999999644</v>
      </c>
      <c r="L39">
        <v>38</v>
      </c>
      <c r="M39">
        <f>0.0706*Model2[[#This Row],[X2]]+106.36</f>
        <v>109.0428</v>
      </c>
      <c r="N39">
        <f t="shared" si="4"/>
        <v>3.6374118400000119</v>
      </c>
      <c r="P39">
        <v>2</v>
      </c>
      <c r="Q39">
        <f>ROWS(Model2[])</f>
        <v>67</v>
      </c>
      <c r="R39">
        <v>2</v>
      </c>
      <c r="S39">
        <f>Model2[[#Totals],[S2]]</f>
        <v>49.377071599999979</v>
      </c>
      <c r="T39">
        <f t="shared" ref="T39:T40" si="6">Q39-R39</f>
        <v>65</v>
      </c>
      <c r="U39" t="s">
        <v>60</v>
      </c>
    </row>
    <row r="40" spans="1:23" x14ac:dyDescent="0.25">
      <c r="A40" s="1">
        <v>43165</v>
      </c>
      <c r="B40">
        <v>105.49</v>
      </c>
      <c r="C40" t="s">
        <v>30</v>
      </c>
      <c r="D40">
        <v>39</v>
      </c>
      <c r="E40">
        <f>0.0086* CurrExchange_2[[#This Row],[X3]] + 108.06</f>
        <v>108.39540000000001</v>
      </c>
      <c r="F40">
        <f>(CurrExchange_2[[#This Row],[Курс]]-CurrExchange_2[[#This Row],[M3]])^2</f>
        <v>8.4413491600000832</v>
      </c>
      <c r="H40">
        <v>39</v>
      </c>
      <c r="I40">
        <f t="shared" si="5"/>
        <v>106.5566</v>
      </c>
      <c r="J40">
        <f>(CurrExchange_2[[#This Row],[Курс]]-I40)^2</f>
        <v>1.1376355600000174</v>
      </c>
      <c r="L40">
        <v>39</v>
      </c>
      <c r="M40">
        <f>0.0706*Model2[[#This Row],[X2]]+106.36</f>
        <v>109.1134</v>
      </c>
      <c r="N40">
        <f t="shared" si="4"/>
        <v>5.002379559999981</v>
      </c>
      <c r="P40">
        <v>3</v>
      </c>
      <c r="Q40">
        <f>ROWS(CurrExchange_2[])</f>
        <v>117</v>
      </c>
      <c r="R40">
        <v>2</v>
      </c>
      <c r="S40">
        <f>CurrExchange_2[[#Totals],[S3]]</f>
        <v>372.93380060000021</v>
      </c>
      <c r="T40">
        <f t="shared" si="6"/>
        <v>115</v>
      </c>
      <c r="U40" t="s">
        <v>61</v>
      </c>
    </row>
    <row r="41" spans="1:23" x14ac:dyDescent="0.25">
      <c r="A41" s="1">
        <v>43166</v>
      </c>
      <c r="B41">
        <v>106.05</v>
      </c>
      <c r="C41" t="s">
        <v>30</v>
      </c>
      <c r="D41">
        <v>40</v>
      </c>
      <c r="E41">
        <f>0.0086* CurrExchange_2[[#This Row],[X3]] + 108.06</f>
        <v>108.404</v>
      </c>
      <c r="F41">
        <f>(CurrExchange_2[[#This Row],[Курс]]-CurrExchange_2[[#This Row],[M3]])^2</f>
        <v>5.5413159999999966</v>
      </c>
      <c r="H41">
        <v>40</v>
      </c>
      <c r="I41">
        <f t="shared" si="5"/>
        <v>106.426</v>
      </c>
      <c r="J41">
        <f>(CurrExchange_2[[#This Row],[Курс]]-I41)^2</f>
        <v>0.14137600000000358</v>
      </c>
      <c r="L41">
        <v>40</v>
      </c>
      <c r="M41">
        <f>0.0706*Model2[[#This Row],[X2]]+106.36</f>
        <v>109.184</v>
      </c>
      <c r="N41">
        <f t="shared" si="4"/>
        <v>3.2616359999999904</v>
      </c>
    </row>
    <row r="42" spans="1:23" x14ac:dyDescent="0.25">
      <c r="A42" s="1">
        <v>43167</v>
      </c>
      <c r="B42">
        <v>105.79</v>
      </c>
      <c r="C42" t="s">
        <v>30</v>
      </c>
      <c r="D42">
        <v>41</v>
      </c>
      <c r="E42">
        <f>0.0086* CurrExchange_2[[#This Row],[X3]] + 108.06</f>
        <v>108.4126</v>
      </c>
      <c r="F42">
        <f>(CurrExchange_2[[#This Row],[Курс]]-CurrExchange_2[[#This Row],[M3]])^2</f>
        <v>6.8780307599999544</v>
      </c>
      <c r="H42">
        <v>41</v>
      </c>
      <c r="I42">
        <f t="shared" si="5"/>
        <v>106.2954</v>
      </c>
      <c r="J42">
        <f>(CurrExchange_2[[#This Row],[Курс]]-I42)^2</f>
        <v>0.25542915999999444</v>
      </c>
      <c r="L42">
        <v>41</v>
      </c>
      <c r="M42">
        <f>0.0706*Model2[[#This Row],[X2]]+106.36</f>
        <v>109.2546</v>
      </c>
      <c r="N42">
        <f t="shared" si="4"/>
        <v>0.44275716000000709</v>
      </c>
      <c r="P42" t="s">
        <v>53</v>
      </c>
    </row>
    <row r="43" spans="1:23" x14ac:dyDescent="0.25">
      <c r="A43" s="1">
        <v>43172</v>
      </c>
      <c r="B43">
        <v>106.49</v>
      </c>
      <c r="C43" t="s">
        <v>30</v>
      </c>
      <c r="D43">
        <v>42</v>
      </c>
      <c r="E43">
        <f>0.0086* CurrExchange_2[[#This Row],[X3]] + 108.06</f>
        <v>108.4212</v>
      </c>
      <c r="F43">
        <f>(CurrExchange_2[[#This Row],[Курс]]-CurrExchange_2[[#This Row],[M3]])^2</f>
        <v>3.7295334400000155</v>
      </c>
      <c r="H43">
        <v>42</v>
      </c>
      <c r="I43">
        <f t="shared" si="5"/>
        <v>106.1648</v>
      </c>
      <c r="J43">
        <f>(CurrExchange_2[[#This Row],[Курс]]-I43)^2</f>
        <v>0.10575503999999693</v>
      </c>
      <c r="L43">
        <v>42</v>
      </c>
      <c r="M43">
        <f>0.0706*Model2[[#This Row],[X2]]+106.36</f>
        <v>109.3252</v>
      </c>
      <c r="N43">
        <f t="shared" si="4"/>
        <v>0.12588304000000819</v>
      </c>
      <c r="P43" t="s">
        <v>54</v>
      </c>
    </row>
    <row r="44" spans="1:23" x14ac:dyDescent="0.25">
      <c r="A44" s="1">
        <v>43173</v>
      </c>
      <c r="B44">
        <v>106.93</v>
      </c>
      <c r="C44" t="s">
        <v>30</v>
      </c>
      <c r="D44">
        <v>43</v>
      </c>
      <c r="E44">
        <f>0.0086* CurrExchange_2[[#This Row],[X3]] + 108.06</f>
        <v>108.4298</v>
      </c>
      <c r="F44">
        <f>(CurrExchange_2[[#This Row],[Курс]]-CurrExchange_2[[#This Row],[M3]])^2</f>
        <v>2.2494000399999803</v>
      </c>
      <c r="H44">
        <v>43</v>
      </c>
      <c r="I44">
        <f t="shared" si="5"/>
        <v>106.0342</v>
      </c>
      <c r="J44">
        <f>(CurrExchange_2[[#This Row],[Курс]]-I44)^2</f>
        <v>0.80245764000001496</v>
      </c>
      <c r="L44">
        <v>43</v>
      </c>
      <c r="M44">
        <f>0.0706*Model2[[#This Row],[X2]]+106.36</f>
        <v>109.39579999999999</v>
      </c>
      <c r="N44">
        <f t="shared" si="4"/>
        <v>4.1216399999999473E-3</v>
      </c>
      <c r="P44" t="s">
        <v>56</v>
      </c>
    </row>
    <row r="45" spans="1:23" x14ac:dyDescent="0.25">
      <c r="A45" s="1">
        <v>43174</v>
      </c>
      <c r="B45">
        <v>106.65</v>
      </c>
      <c r="C45" t="s">
        <v>30</v>
      </c>
      <c r="D45">
        <v>44</v>
      </c>
      <c r="E45">
        <f>0.0086* CurrExchange_2[[#This Row],[X3]] + 108.06</f>
        <v>108.4384</v>
      </c>
      <c r="F45">
        <f>(CurrExchange_2[[#This Row],[Курс]]-CurrExchange_2[[#This Row],[M3]])^2</f>
        <v>3.1983745599999849</v>
      </c>
      <c r="H45">
        <v>44</v>
      </c>
      <c r="I45">
        <f t="shared" si="5"/>
        <v>105.90360000000001</v>
      </c>
      <c r="J45">
        <f>(CurrExchange_2[[#This Row],[Курс]]-I45)^2</f>
        <v>0.55711295999999133</v>
      </c>
      <c r="L45">
        <v>44</v>
      </c>
      <c r="M45">
        <f>0.0706*Model2[[#This Row],[X2]]+106.36</f>
        <v>109.46639999999999</v>
      </c>
      <c r="N45">
        <f t="shared" si="4"/>
        <v>1.3249599999989969E-3</v>
      </c>
      <c r="P45" t="s">
        <v>55</v>
      </c>
    </row>
    <row r="46" spans="1:23" x14ac:dyDescent="0.25">
      <c r="A46" s="1">
        <v>43175</v>
      </c>
      <c r="B46">
        <v>106.12</v>
      </c>
      <c r="C46" t="s">
        <v>30</v>
      </c>
      <c r="D46">
        <v>45</v>
      </c>
      <c r="E46">
        <f>0.0086* CurrExchange_2[[#This Row],[X3]] + 108.06</f>
        <v>108.447</v>
      </c>
      <c r="F46">
        <f>(CurrExchange_2[[#This Row],[Курс]]-CurrExchange_2[[#This Row],[M3]])^2</f>
        <v>5.4149289999999919</v>
      </c>
      <c r="H46">
        <v>45</v>
      </c>
      <c r="I46">
        <f t="shared" si="5"/>
        <v>105.77300000000001</v>
      </c>
      <c r="J46">
        <f>(CurrExchange_2[[#This Row],[Курс]]-I46)^2</f>
        <v>0.12040899999999598</v>
      </c>
      <c r="L46">
        <v>45</v>
      </c>
      <c r="M46">
        <f>0.0706*Model2[[#This Row],[X2]]+106.36</f>
        <v>109.53700000000001</v>
      </c>
      <c r="N46">
        <f t="shared" si="4"/>
        <v>0.95452900000000751</v>
      </c>
      <c r="P46" t="s">
        <v>57</v>
      </c>
    </row>
    <row r="47" spans="1:23" x14ac:dyDescent="0.25">
      <c r="A47" s="1">
        <v>43176</v>
      </c>
      <c r="B47">
        <v>105.72</v>
      </c>
      <c r="C47" t="s">
        <v>30</v>
      </c>
      <c r="D47">
        <v>46</v>
      </c>
      <c r="E47">
        <f>0.0086* CurrExchange_2[[#This Row],[X3]] + 108.06</f>
        <v>108.4556</v>
      </c>
      <c r="F47">
        <f>(CurrExchange_2[[#This Row],[Курс]]-CurrExchange_2[[#This Row],[M3]])^2</f>
        <v>7.4835073600000284</v>
      </c>
      <c r="H47">
        <v>46</v>
      </c>
      <c r="I47">
        <f t="shared" si="5"/>
        <v>105.64240000000001</v>
      </c>
      <c r="J47">
        <f>(CurrExchange_2[[#This Row],[Курс]]-I47)^2</f>
        <v>6.0217599999983981E-3</v>
      </c>
      <c r="L47">
        <v>46</v>
      </c>
      <c r="M47">
        <f>0.0706*Model2[[#This Row],[X2]]+106.36</f>
        <v>109.60760000000001</v>
      </c>
      <c r="N47">
        <f t="shared" si="4"/>
        <v>0.89794576000001602</v>
      </c>
    </row>
    <row r="48" spans="1:23" x14ac:dyDescent="0.25">
      <c r="A48" s="1">
        <v>43179</v>
      </c>
      <c r="B48">
        <v>105.85</v>
      </c>
      <c r="C48" t="s">
        <v>30</v>
      </c>
      <c r="D48">
        <v>47</v>
      </c>
      <c r="E48">
        <f>0.0086* CurrExchange_2[[#This Row],[X3]] + 108.06</f>
        <v>108.46420000000001</v>
      </c>
      <c r="F48">
        <f>(CurrExchange_2[[#This Row],[Курс]]-CurrExchange_2[[#This Row],[M3]])^2</f>
        <v>6.8340416400000574</v>
      </c>
      <c r="H48">
        <v>47</v>
      </c>
      <c r="I48">
        <f t="shared" ref="I48:I51" si="7">-0.1306*(ROW()-1)+111.65</f>
        <v>105.51180000000001</v>
      </c>
      <c r="J48">
        <f>(CurrExchange_2[[#This Row],[Курс]]-I48)^2</f>
        <v>0.11437923999999072</v>
      </c>
      <c r="L48">
        <v>47</v>
      </c>
      <c r="M48">
        <f>0.0706*Model2[[#This Row],[X2]]+106.36</f>
        <v>109.6782</v>
      </c>
      <c r="N48">
        <f t="shared" si="4"/>
        <v>0.70257924000000083</v>
      </c>
      <c r="P48" t="s">
        <v>51</v>
      </c>
      <c r="W48">
        <f>S38+S39</f>
        <v>74.938432599999899</v>
      </c>
    </row>
    <row r="49" spans="1:23" x14ac:dyDescent="0.25">
      <c r="A49" s="1">
        <v>43180</v>
      </c>
      <c r="B49">
        <v>106.43</v>
      </c>
      <c r="C49" t="s">
        <v>30</v>
      </c>
      <c r="D49">
        <v>48</v>
      </c>
      <c r="E49">
        <f>0.0086* CurrExchange_2[[#This Row],[X3]] + 108.06</f>
        <v>108.47280000000001</v>
      </c>
      <c r="F49">
        <f>(CurrExchange_2[[#This Row],[Курс]]-CurrExchange_2[[#This Row],[M3]])^2</f>
        <v>4.1730318399999993</v>
      </c>
      <c r="H49">
        <v>48</v>
      </c>
      <c r="I49">
        <f t="shared" si="7"/>
        <v>105.38120000000001</v>
      </c>
      <c r="J49">
        <f>(CurrExchange_2[[#This Row],[Курс]]-I49)^2</f>
        <v>1.0999814399999999</v>
      </c>
      <c r="L49">
        <v>48</v>
      </c>
      <c r="M49">
        <f>0.0706*Model2[[#This Row],[X2]]+106.36</f>
        <v>109.7488</v>
      </c>
      <c r="N49">
        <f t="shared" si="4"/>
        <v>0.3829134400000091</v>
      </c>
      <c r="P49" t="s">
        <v>52</v>
      </c>
      <c r="W49">
        <f>T38+T39</f>
        <v>113</v>
      </c>
    </row>
    <row r="50" spans="1:23" x14ac:dyDescent="0.25">
      <c r="A50" s="1">
        <v>43181</v>
      </c>
      <c r="B50">
        <v>106.31</v>
      </c>
      <c r="C50" t="s">
        <v>30</v>
      </c>
      <c r="D50">
        <v>49</v>
      </c>
      <c r="E50">
        <f>0.0086* CurrExchange_2[[#This Row],[X3]] + 108.06</f>
        <v>108.48140000000001</v>
      </c>
      <c r="F50">
        <f>(CurrExchange_2[[#This Row],[Курс]]-CurrExchange_2[[#This Row],[M3]])^2</f>
        <v>4.7149779600000237</v>
      </c>
      <c r="H50">
        <v>49</v>
      </c>
      <c r="I50">
        <f t="shared" si="7"/>
        <v>105.25060000000001</v>
      </c>
      <c r="J50">
        <f>(CurrExchange_2[[#This Row],[Курс]]-I50)^2</f>
        <v>1.1223283599999927</v>
      </c>
      <c r="L50">
        <v>49</v>
      </c>
      <c r="M50">
        <f>0.0706*Model2[[#This Row],[X2]]+106.36</f>
        <v>109.8194</v>
      </c>
      <c r="N50">
        <f t="shared" si="4"/>
        <v>8.9640360000003388E-2</v>
      </c>
      <c r="P50" t="s">
        <v>62</v>
      </c>
      <c r="W50">
        <f>S40-W48</f>
        <v>297.99536800000033</v>
      </c>
    </row>
    <row r="51" spans="1:23" x14ac:dyDescent="0.25">
      <c r="A51" s="1">
        <v>43182</v>
      </c>
      <c r="B51">
        <v>105.71</v>
      </c>
      <c r="C51" t="s">
        <v>30</v>
      </c>
      <c r="D51">
        <v>50</v>
      </c>
      <c r="E51">
        <f>0.0086* CurrExchange_2[[#This Row],[X3]] + 108.06</f>
        <v>108.49000000000001</v>
      </c>
      <c r="F51">
        <f>(CurrExchange_2[[#This Row],[Курс]]-CurrExchange_2[[#This Row],[M3]])^2</f>
        <v>7.728400000000085</v>
      </c>
      <c r="H51">
        <v>50</v>
      </c>
      <c r="I51">
        <f t="shared" si="7"/>
        <v>105.12</v>
      </c>
      <c r="J51">
        <f>(CurrExchange_2[[#This Row],[Курс]]-I51)^2</f>
        <v>0.34809999999998725</v>
      </c>
      <c r="L51">
        <v>50</v>
      </c>
      <c r="M51">
        <f>0.0706*Model2[[#This Row],[X2]]+106.36</f>
        <v>109.89</v>
      </c>
      <c r="N51">
        <f t="shared" si="4"/>
        <v>4.9000000000010346E-3</v>
      </c>
      <c r="P51" t="s">
        <v>58</v>
      </c>
      <c r="W51">
        <f>R38+R39-R40</f>
        <v>2</v>
      </c>
    </row>
    <row r="52" spans="1:23" x14ac:dyDescent="0.25">
      <c r="A52" s="1">
        <v>43183</v>
      </c>
      <c r="B52">
        <v>105.02</v>
      </c>
      <c r="C52" t="s">
        <v>30</v>
      </c>
      <c r="D52">
        <v>51</v>
      </c>
      <c r="E52">
        <f>0.0086* CurrExchange_2[[#This Row],[X3]] + 108.06</f>
        <v>108.4986</v>
      </c>
      <c r="F52">
        <f>(CurrExchange_2[[#This Row],[Курс]]-CurrExchange_2[[#This Row],[M3]])^2</f>
        <v>12.100657960000001</v>
      </c>
      <c r="H52" t="s">
        <v>42</v>
      </c>
      <c r="J52">
        <f>SUBTOTAL(109,Model1[S1])</f>
        <v>25.56136099999992</v>
      </c>
      <c r="L52">
        <v>51</v>
      </c>
      <c r="M52">
        <f>0.0706*Model2[[#This Row],[X2]]+106.36</f>
        <v>109.9606</v>
      </c>
      <c r="N52">
        <f t="shared" si="4"/>
        <v>6.3043600000010792E-3</v>
      </c>
      <c r="P52" t="s">
        <v>48</v>
      </c>
      <c r="W52">
        <f>(W50/W51)/(W48/W49)</f>
        <v>224.67427870916055</v>
      </c>
    </row>
    <row r="53" spans="1:23" x14ac:dyDescent="0.25">
      <c r="A53" s="1">
        <v>43186</v>
      </c>
      <c r="B53">
        <v>105.09</v>
      </c>
      <c r="C53" t="s">
        <v>30</v>
      </c>
      <c r="D53">
        <v>52</v>
      </c>
      <c r="E53">
        <f>0.0086* CurrExchange_2[[#This Row],[X3]] + 108.06</f>
        <v>108.5072</v>
      </c>
      <c r="F53">
        <f>(CurrExchange_2[[#This Row],[Курс]]-CurrExchange_2[[#This Row],[M3]])^2</f>
        <v>11.67725583999996</v>
      </c>
      <c r="L53">
        <v>52</v>
      </c>
      <c r="M53">
        <f>0.0706*Model2[[#This Row],[X2]]+106.36</f>
        <v>110.0312</v>
      </c>
      <c r="N53">
        <f t="shared" si="4"/>
        <v>8.3174400000001116E-3</v>
      </c>
      <c r="P53" t="s">
        <v>49</v>
      </c>
      <c r="W53">
        <f>_xlfn.F.INV.RT(0.05,W51,W49)</f>
        <v>3.0765743091794007</v>
      </c>
    </row>
    <row r="54" spans="1:23" x14ac:dyDescent="0.25">
      <c r="A54" s="1">
        <v>43187</v>
      </c>
      <c r="B54">
        <v>105.53</v>
      </c>
      <c r="C54" t="s">
        <v>30</v>
      </c>
      <c r="D54">
        <v>53</v>
      </c>
      <c r="E54">
        <f>0.0086* CurrExchange_2[[#This Row],[X3]] + 108.06</f>
        <v>108.5158</v>
      </c>
      <c r="F54">
        <f>(CurrExchange_2[[#This Row],[Курс]]-CurrExchange_2[[#This Row],[M3]])^2</f>
        <v>8.9150016399999856</v>
      </c>
      <c r="L54">
        <v>53</v>
      </c>
      <c r="M54">
        <f>0.0706*Model2[[#This Row],[X2]]+106.36</f>
        <v>110.1018</v>
      </c>
      <c r="N54">
        <f t="shared" si="4"/>
        <v>0.55026723999999672</v>
      </c>
    </row>
    <row r="55" spans="1:23" x14ac:dyDescent="0.25">
      <c r="A55" s="1">
        <v>43188</v>
      </c>
      <c r="B55">
        <v>105.59</v>
      </c>
      <c r="C55" t="s">
        <v>30</v>
      </c>
      <c r="D55">
        <v>54</v>
      </c>
      <c r="E55">
        <f>0.0086* CurrExchange_2[[#This Row],[X3]] + 108.06</f>
        <v>108.5244</v>
      </c>
      <c r="F55">
        <f>(CurrExchange_2[[#This Row],[Курс]]-CurrExchange_2[[#This Row],[M3]])^2</f>
        <v>8.6107033599999792</v>
      </c>
      <c r="L55">
        <v>54</v>
      </c>
      <c r="M55">
        <f>0.0706*Model2[[#This Row],[X2]]+106.36</f>
        <v>110.1724</v>
      </c>
      <c r="N55">
        <f t="shared" si="4"/>
        <v>0.38738175999999869</v>
      </c>
      <c r="P55" t="s">
        <v>50</v>
      </c>
    </row>
    <row r="56" spans="1:23" x14ac:dyDescent="0.25">
      <c r="A56" s="1">
        <v>43189</v>
      </c>
      <c r="B56">
        <v>106.6</v>
      </c>
      <c r="C56" t="s">
        <v>30</v>
      </c>
      <c r="D56">
        <v>55</v>
      </c>
      <c r="E56">
        <f>0.0086* CurrExchange_2[[#This Row],[X3]] + 108.06</f>
        <v>108.533</v>
      </c>
      <c r="F56">
        <f>(CurrExchange_2[[#This Row],[Курс]]-CurrExchange_2[[#This Row],[M3]])^2</f>
        <v>3.7364890000000268</v>
      </c>
      <c r="L56">
        <v>55</v>
      </c>
      <c r="M56">
        <f>0.0706*Model2[[#This Row],[X2]]+106.36</f>
        <v>110.24299999999999</v>
      </c>
      <c r="N56">
        <f t="shared" si="4"/>
        <v>0.18232900000000574</v>
      </c>
    </row>
    <row r="57" spans="1:23" x14ac:dyDescent="0.25">
      <c r="A57" s="1">
        <v>43190</v>
      </c>
      <c r="B57">
        <v>106.18</v>
      </c>
      <c r="C57" t="s">
        <v>30</v>
      </c>
      <c r="D57">
        <v>56</v>
      </c>
      <c r="E57">
        <f>0.0086* CurrExchange_2[[#This Row],[X3]] + 108.06</f>
        <v>108.5416</v>
      </c>
      <c r="F57">
        <f>(CurrExchange_2[[#This Row],[Курс]]-CurrExchange_2[[#This Row],[M3]])^2</f>
        <v>5.5771545599999799</v>
      </c>
      <c r="L57">
        <v>56</v>
      </c>
      <c r="M57">
        <f>0.0706*Model2[[#This Row],[X2]]+106.36</f>
        <v>110.31359999999999</v>
      </c>
      <c r="N57">
        <f t="shared" si="4"/>
        <v>9.2172959999993184E-2</v>
      </c>
    </row>
    <row r="58" spans="1:23" x14ac:dyDescent="0.25">
      <c r="A58" s="1">
        <v>43193</v>
      </c>
      <c r="B58">
        <v>106.3</v>
      </c>
      <c r="C58" t="s">
        <v>30</v>
      </c>
      <c r="D58">
        <v>57</v>
      </c>
      <c r="E58">
        <f>0.0086* CurrExchange_2[[#This Row],[X3]] + 108.06</f>
        <v>108.5502</v>
      </c>
      <c r="F58">
        <f>(CurrExchange_2[[#This Row],[Курс]]-CurrExchange_2[[#This Row],[M3]])^2</f>
        <v>5.0634000400000296</v>
      </c>
      <c r="L58">
        <v>57</v>
      </c>
      <c r="M58">
        <f>0.0706*Model2[[#This Row],[X2]]+106.36</f>
        <v>110.38419999999999</v>
      </c>
      <c r="N58">
        <f t="shared" si="4"/>
        <v>5.7456400000001481E-3</v>
      </c>
    </row>
    <row r="59" spans="1:23" x14ac:dyDescent="0.25">
      <c r="A59" s="1">
        <v>43194</v>
      </c>
      <c r="B59">
        <v>106.14</v>
      </c>
      <c r="C59" t="s">
        <v>30</v>
      </c>
      <c r="D59">
        <v>58</v>
      </c>
      <c r="E59">
        <f>0.0086* CurrExchange_2[[#This Row],[X3]] + 108.06</f>
        <v>108.55880000000001</v>
      </c>
      <c r="F59">
        <f>(CurrExchange_2[[#This Row],[Курс]]-CurrExchange_2[[#This Row],[M3]])^2</f>
        <v>5.8505934400000221</v>
      </c>
      <c r="L59">
        <v>58</v>
      </c>
      <c r="M59">
        <f>0.0706*Model2[[#This Row],[X2]]+106.36</f>
        <v>110.45480000000001</v>
      </c>
      <c r="N59">
        <f t="shared" si="4"/>
        <v>1.2390399999992268E-3</v>
      </c>
    </row>
    <row r="60" spans="1:23" x14ac:dyDescent="0.25">
      <c r="A60" s="1">
        <v>43195</v>
      </c>
      <c r="B60">
        <v>106.09</v>
      </c>
      <c r="C60" t="s">
        <v>30</v>
      </c>
      <c r="D60">
        <v>59</v>
      </c>
      <c r="E60">
        <f>0.0086* CurrExchange_2[[#This Row],[X3]] + 108.06</f>
        <v>108.56740000000001</v>
      </c>
      <c r="F60">
        <f>(CurrExchange_2[[#This Row],[Курс]]-CurrExchange_2[[#This Row],[M3]])^2</f>
        <v>6.1375107600000147</v>
      </c>
      <c r="L60">
        <v>59</v>
      </c>
      <c r="M60">
        <f>0.0706*Model2[[#This Row],[X2]]+106.36</f>
        <v>110.5254</v>
      </c>
      <c r="N60">
        <f t="shared" si="4"/>
        <v>0.69789316000001178</v>
      </c>
    </row>
    <row r="61" spans="1:23" x14ac:dyDescent="0.25">
      <c r="A61" s="1">
        <v>43196</v>
      </c>
      <c r="B61">
        <v>107.08</v>
      </c>
      <c r="C61" t="s">
        <v>30</v>
      </c>
      <c r="D61">
        <v>60</v>
      </c>
      <c r="E61">
        <f>0.0086* CurrExchange_2[[#This Row],[X3]] + 108.06</f>
        <v>108.57600000000001</v>
      </c>
      <c r="F61">
        <f>(CurrExchange_2[[#This Row],[Курс]]-CurrExchange_2[[#This Row],[M3]])^2</f>
        <v>2.238016000000028</v>
      </c>
      <c r="L61">
        <v>60</v>
      </c>
      <c r="M61">
        <f>0.0706*Model2[[#This Row],[X2]]+106.36</f>
        <v>110.596</v>
      </c>
      <c r="N61">
        <f t="shared" si="4"/>
        <v>0.20793600000000281</v>
      </c>
    </row>
    <row r="62" spans="1:23" x14ac:dyDescent="0.25">
      <c r="A62" s="1">
        <v>43197</v>
      </c>
      <c r="B62">
        <v>107.41</v>
      </c>
      <c r="C62" t="s">
        <v>30</v>
      </c>
      <c r="D62">
        <v>61</v>
      </c>
      <c r="E62">
        <f>0.0086* CurrExchange_2[[#This Row],[X3]] + 108.06</f>
        <v>108.58460000000001</v>
      </c>
      <c r="F62">
        <f>(CurrExchange_2[[#This Row],[Курс]]-CurrExchange_2[[#This Row],[M3]])^2</f>
        <v>1.3796851600000288</v>
      </c>
      <c r="L62">
        <v>61</v>
      </c>
      <c r="M62">
        <f>0.0706*Model2[[#This Row],[X2]]+106.36</f>
        <v>110.6666</v>
      </c>
      <c r="N62">
        <f t="shared" si="4"/>
        <v>7.4995600000007327E-3</v>
      </c>
    </row>
    <row r="63" spans="1:23" x14ac:dyDescent="0.25">
      <c r="A63" s="1">
        <v>43200</v>
      </c>
      <c r="B63">
        <v>107.15</v>
      </c>
      <c r="C63" t="s">
        <v>30</v>
      </c>
      <c r="D63">
        <v>62</v>
      </c>
      <c r="E63">
        <f>0.0086* CurrExchange_2[[#This Row],[X3]] + 108.06</f>
        <v>108.5932</v>
      </c>
      <c r="F63">
        <f>(CurrExchange_2[[#This Row],[Курс]]-CurrExchange_2[[#This Row],[M3]])^2</f>
        <v>2.0828262399999717</v>
      </c>
      <c r="L63">
        <v>62</v>
      </c>
      <c r="M63">
        <f>0.0706*Model2[[#This Row],[X2]]+106.36</f>
        <v>110.7372</v>
      </c>
      <c r="N63">
        <f t="shared" si="4"/>
        <v>0.29942784000000405</v>
      </c>
    </row>
    <row r="64" spans="1:23" x14ac:dyDescent="0.25">
      <c r="A64" s="1">
        <v>43201</v>
      </c>
      <c r="B64">
        <v>107.05</v>
      </c>
      <c r="C64" t="s">
        <v>30</v>
      </c>
      <c r="D64">
        <v>63</v>
      </c>
      <c r="E64">
        <f>0.0086* CurrExchange_2[[#This Row],[X3]] + 108.06</f>
        <v>108.6018</v>
      </c>
      <c r="F64">
        <f>(CurrExchange_2[[#This Row],[Курс]]-CurrExchange_2[[#This Row],[M3]])^2</f>
        <v>2.4080832400000003</v>
      </c>
      <c r="L64">
        <v>63</v>
      </c>
      <c r="M64">
        <f>0.0706*Model2[[#This Row],[X2]]+106.36</f>
        <v>110.8078</v>
      </c>
      <c r="N64">
        <f t="shared" si="4"/>
        <v>1.6584288400000111</v>
      </c>
    </row>
    <row r="65" spans="1:14" x14ac:dyDescent="0.25">
      <c r="A65" s="1">
        <v>43202</v>
      </c>
      <c r="B65">
        <v>106.91</v>
      </c>
      <c r="C65" t="s">
        <v>30</v>
      </c>
      <c r="D65">
        <v>64</v>
      </c>
      <c r="E65">
        <f>0.0086* CurrExchange_2[[#This Row],[X3]] + 108.06</f>
        <v>108.6104</v>
      </c>
      <c r="F65">
        <f>(CurrExchange_2[[#This Row],[Курс]]-CurrExchange_2[[#This Row],[M3]])^2</f>
        <v>2.8913601600000063</v>
      </c>
      <c r="L65">
        <v>64</v>
      </c>
      <c r="M65">
        <f>0.0706*Model2[[#This Row],[X2]]+106.36</f>
        <v>110.8784</v>
      </c>
      <c r="N65">
        <f t="shared" si="4"/>
        <v>1.4361625599999817</v>
      </c>
    </row>
    <row r="66" spans="1:14" x14ac:dyDescent="0.25">
      <c r="A66" s="1">
        <v>43203</v>
      </c>
      <c r="B66">
        <v>106.9</v>
      </c>
      <c r="C66" t="s">
        <v>30</v>
      </c>
      <c r="D66">
        <v>65</v>
      </c>
      <c r="E66">
        <f>0.0086* CurrExchange_2[[#This Row],[X3]] + 108.06</f>
        <v>108.619</v>
      </c>
      <c r="F66">
        <f>(CurrExchange_2[[#This Row],[Курс]]-CurrExchange_2[[#This Row],[M3]])^2</f>
        <v>2.9549609999999795</v>
      </c>
      <c r="L66">
        <v>65</v>
      </c>
      <c r="M66">
        <f>0.0706*Model2[[#This Row],[X2]]+106.36</f>
        <v>110.949</v>
      </c>
      <c r="N66">
        <f t="shared" ref="N66:N68" si="8">(B116-M66)^2</f>
        <v>1.3665609999999928</v>
      </c>
    </row>
    <row r="67" spans="1:14" x14ac:dyDescent="0.25">
      <c r="A67" s="1">
        <v>43204</v>
      </c>
      <c r="B67">
        <v>107.62</v>
      </c>
      <c r="C67" t="s">
        <v>30</v>
      </c>
      <c r="D67">
        <v>66</v>
      </c>
      <c r="E67">
        <f>0.0086* CurrExchange_2[[#This Row],[X3]] + 108.06</f>
        <v>108.6276</v>
      </c>
      <c r="F67">
        <f>(CurrExchange_2[[#This Row],[Курс]]-CurrExchange_2[[#This Row],[M3]])^2</f>
        <v>1.015257759999993</v>
      </c>
      <c r="L67">
        <v>66</v>
      </c>
      <c r="M67">
        <f>0.0706*Model2[[#This Row],[X2]]+106.36</f>
        <v>111.0196</v>
      </c>
      <c r="N67">
        <f t="shared" si="8"/>
        <v>0.39639615999999545</v>
      </c>
    </row>
    <row r="68" spans="1:14" x14ac:dyDescent="0.25">
      <c r="A68" s="1">
        <v>43207</v>
      </c>
      <c r="B68">
        <v>107.22</v>
      </c>
      <c r="C68" t="s">
        <v>30</v>
      </c>
      <c r="D68">
        <v>67</v>
      </c>
      <c r="E68">
        <f>0.0086* CurrExchange_2[[#This Row],[X3]] + 108.06</f>
        <v>108.6362</v>
      </c>
      <c r="F68">
        <f>(CurrExchange_2[[#This Row],[Курс]]-CurrExchange_2[[#This Row],[M3]])^2</f>
        <v>2.00562244000001</v>
      </c>
      <c r="L68">
        <v>67</v>
      </c>
      <c r="M68">
        <f>0.0706*Model2[[#This Row],[X2]]+106.36</f>
        <v>111.0902</v>
      </c>
      <c r="N68">
        <f t="shared" si="8"/>
        <v>0.16826403999999098</v>
      </c>
    </row>
    <row r="69" spans="1:14" x14ac:dyDescent="0.25">
      <c r="A69" s="1">
        <v>43208</v>
      </c>
      <c r="B69">
        <v>106.99</v>
      </c>
      <c r="C69" t="s">
        <v>30</v>
      </c>
      <c r="D69">
        <v>68</v>
      </c>
      <c r="E69">
        <f>0.0086* CurrExchange_2[[#This Row],[X3]] + 108.06</f>
        <v>108.6448</v>
      </c>
      <c r="F69">
        <f>(CurrExchange_2[[#This Row],[Курс]]-CurrExchange_2[[#This Row],[M3]])^2</f>
        <v>2.7383630400000287</v>
      </c>
      <c r="L69" t="s">
        <v>42</v>
      </c>
      <c r="N69">
        <f>SUBTOTAL(109,Model2[S2])</f>
        <v>49.377071599999979</v>
      </c>
    </row>
    <row r="70" spans="1:14" x14ac:dyDescent="0.25">
      <c r="A70" s="1">
        <v>43209</v>
      </c>
      <c r="B70">
        <v>107.33</v>
      </c>
      <c r="C70" t="s">
        <v>30</v>
      </c>
      <c r="D70">
        <v>69</v>
      </c>
      <c r="E70">
        <f>0.0086* CurrExchange_2[[#This Row],[X3]] + 108.06</f>
        <v>108.6534</v>
      </c>
      <c r="F70">
        <f>(CurrExchange_2[[#This Row],[Курс]]-CurrExchange_2[[#This Row],[M3]])^2</f>
        <v>1.7513875600000175</v>
      </c>
    </row>
    <row r="71" spans="1:14" x14ac:dyDescent="0.25">
      <c r="A71" s="1">
        <v>43210</v>
      </c>
      <c r="B71">
        <v>107.35</v>
      </c>
      <c r="C71" t="s">
        <v>30</v>
      </c>
      <c r="D71">
        <v>70</v>
      </c>
      <c r="E71">
        <f>0.0086* CurrExchange_2[[#This Row],[X3]] + 108.06</f>
        <v>108.66200000000001</v>
      </c>
      <c r="F71">
        <f>(CurrExchange_2[[#This Row],[Курс]]-CurrExchange_2[[#This Row],[M3]])^2</f>
        <v>1.7213440000000311</v>
      </c>
    </row>
    <row r="72" spans="1:14" x14ac:dyDescent="0.25">
      <c r="A72" s="1">
        <v>43211</v>
      </c>
      <c r="B72">
        <v>107.56</v>
      </c>
      <c r="C72" t="s">
        <v>30</v>
      </c>
      <c r="D72">
        <v>71</v>
      </c>
      <c r="E72">
        <f>0.0086* CurrExchange_2[[#This Row],[X3]] + 108.06</f>
        <v>108.67060000000001</v>
      </c>
      <c r="F72">
        <f>(CurrExchange_2[[#This Row],[Курс]]-CurrExchange_2[[#This Row],[M3]])^2</f>
        <v>1.2334323600000114</v>
      </c>
    </row>
    <row r="73" spans="1:14" x14ac:dyDescent="0.25">
      <c r="A73" s="1">
        <v>43214</v>
      </c>
      <c r="B73">
        <v>107.87</v>
      </c>
      <c r="C73" t="s">
        <v>30</v>
      </c>
      <c r="D73">
        <v>72</v>
      </c>
      <c r="E73">
        <f>0.0086* CurrExchange_2[[#This Row],[X3]] + 108.06</f>
        <v>108.67920000000001</v>
      </c>
      <c r="F73">
        <f>(CurrExchange_2[[#This Row],[Курс]]-CurrExchange_2[[#This Row],[M3]])^2</f>
        <v>0.65480464000000671</v>
      </c>
    </row>
    <row r="74" spans="1:14" x14ac:dyDescent="0.25">
      <c r="A74" s="1">
        <v>43215</v>
      </c>
      <c r="B74">
        <v>108.83</v>
      </c>
      <c r="C74" t="s">
        <v>30</v>
      </c>
      <c r="D74">
        <v>73</v>
      </c>
      <c r="E74">
        <f>0.0086* CurrExchange_2[[#This Row],[X3]] + 108.06</f>
        <v>108.6878</v>
      </c>
      <c r="F74">
        <f>(CurrExchange_2[[#This Row],[Курс]]-CurrExchange_2[[#This Row],[M3]])^2</f>
        <v>2.0220840000000725E-2</v>
      </c>
    </row>
    <row r="75" spans="1:14" x14ac:dyDescent="0.25">
      <c r="A75" s="1">
        <v>43216</v>
      </c>
      <c r="B75">
        <v>109.22</v>
      </c>
      <c r="C75" t="s">
        <v>30</v>
      </c>
      <c r="D75">
        <v>74</v>
      </c>
      <c r="E75">
        <f>0.0086* CurrExchange_2[[#This Row],[X3]] + 108.06</f>
        <v>108.6964</v>
      </c>
      <c r="F75">
        <f>(CurrExchange_2[[#This Row],[Курс]]-CurrExchange_2[[#This Row],[M3]])^2</f>
        <v>0.27415696000000195</v>
      </c>
    </row>
    <row r="76" spans="1:14" x14ac:dyDescent="0.25">
      <c r="A76" s="1">
        <v>43217</v>
      </c>
      <c r="B76">
        <v>109.34</v>
      </c>
      <c r="C76" t="s">
        <v>30</v>
      </c>
      <c r="D76">
        <v>75</v>
      </c>
      <c r="E76">
        <f>0.0086* CurrExchange_2[[#This Row],[X3]] + 108.06</f>
        <v>108.705</v>
      </c>
      <c r="F76">
        <f>(CurrExchange_2[[#This Row],[Курс]]-CurrExchange_2[[#This Row],[M3]])^2</f>
        <v>0.40322500000000649</v>
      </c>
    </row>
    <row r="77" spans="1:14" x14ac:dyDescent="0.25">
      <c r="A77" s="1">
        <v>43218</v>
      </c>
      <c r="B77">
        <v>109.33</v>
      </c>
      <c r="C77" t="s">
        <v>30</v>
      </c>
      <c r="D77">
        <v>76</v>
      </c>
      <c r="E77">
        <f>0.0086* CurrExchange_2[[#This Row],[X3]] + 108.06</f>
        <v>108.7136</v>
      </c>
      <c r="F77">
        <f>(CurrExchange_2[[#This Row],[Курс]]-CurrExchange_2[[#This Row],[M3]])^2</f>
        <v>0.37994895999999845</v>
      </c>
    </row>
    <row r="78" spans="1:14" x14ac:dyDescent="0.25">
      <c r="A78" s="1">
        <v>43219</v>
      </c>
      <c r="B78">
        <v>109.04</v>
      </c>
      <c r="C78" t="s">
        <v>30</v>
      </c>
      <c r="D78">
        <v>77</v>
      </c>
      <c r="E78">
        <f>0.0086* CurrExchange_2[[#This Row],[X3]] + 108.06</f>
        <v>108.7222</v>
      </c>
      <c r="F78">
        <f>(CurrExchange_2[[#This Row],[Курс]]-CurrExchange_2[[#This Row],[M3]])^2</f>
        <v>0.10099684000000345</v>
      </c>
    </row>
    <row r="79" spans="1:14" x14ac:dyDescent="0.25">
      <c r="A79" s="1">
        <v>43224</v>
      </c>
      <c r="B79">
        <v>109.66</v>
      </c>
      <c r="C79" t="s">
        <v>30</v>
      </c>
      <c r="D79">
        <v>78</v>
      </c>
      <c r="E79">
        <f>0.0086* CurrExchange_2[[#This Row],[X3]] + 108.06</f>
        <v>108.7308</v>
      </c>
      <c r="F79">
        <f>(CurrExchange_2[[#This Row],[Курс]]-CurrExchange_2[[#This Row],[M3]])^2</f>
        <v>0.86341263999998974</v>
      </c>
    </row>
    <row r="80" spans="1:14" x14ac:dyDescent="0.25">
      <c r="A80" s="1">
        <v>43225</v>
      </c>
      <c r="B80">
        <v>109.09</v>
      </c>
      <c r="C80" t="s">
        <v>30</v>
      </c>
      <c r="D80">
        <v>79</v>
      </c>
      <c r="E80">
        <f>0.0086* CurrExchange_2[[#This Row],[X3]] + 108.06</f>
        <v>108.7394</v>
      </c>
      <c r="F80">
        <f>(CurrExchange_2[[#This Row],[Курс]]-CurrExchange_2[[#This Row],[M3]])^2</f>
        <v>0.12292036000000002</v>
      </c>
    </row>
    <row r="81" spans="1:6" x14ac:dyDescent="0.25">
      <c r="A81" s="1">
        <v>43228</v>
      </c>
      <c r="B81">
        <v>109.24</v>
      </c>
      <c r="C81" t="s">
        <v>30</v>
      </c>
      <c r="D81">
        <v>80</v>
      </c>
      <c r="E81">
        <f>0.0086* CurrExchange_2[[#This Row],[X3]] + 108.06</f>
        <v>108.748</v>
      </c>
      <c r="F81">
        <f>(CurrExchange_2[[#This Row],[Курс]]-CurrExchange_2[[#This Row],[M3]])^2</f>
        <v>0.24206399999999037</v>
      </c>
    </row>
    <row r="82" spans="1:6" x14ac:dyDescent="0.25">
      <c r="A82" s="1">
        <v>43229</v>
      </c>
      <c r="B82">
        <v>108.99</v>
      </c>
      <c r="C82" t="s">
        <v>30</v>
      </c>
      <c r="D82">
        <v>81</v>
      </c>
      <c r="E82">
        <f>0.0086* CurrExchange_2[[#This Row],[X3]] + 108.06</f>
        <v>108.75660000000001</v>
      </c>
      <c r="F82">
        <f>(CurrExchange_2[[#This Row],[Курс]]-CurrExchange_2[[#This Row],[M3]])^2</f>
        <v>5.4475559999994844E-2</v>
      </c>
    </row>
    <row r="83" spans="1:6" x14ac:dyDescent="0.25">
      <c r="A83" s="1">
        <v>43231</v>
      </c>
      <c r="B83">
        <v>109.86</v>
      </c>
      <c r="C83" t="s">
        <v>30</v>
      </c>
      <c r="D83">
        <v>82</v>
      </c>
      <c r="E83">
        <f>0.0086* CurrExchange_2[[#This Row],[X3]] + 108.06</f>
        <v>108.76520000000001</v>
      </c>
      <c r="F83">
        <f>(CurrExchange_2[[#This Row],[Курс]]-CurrExchange_2[[#This Row],[M3]])^2</f>
        <v>1.198587039999983</v>
      </c>
    </row>
    <row r="84" spans="1:6" x14ac:dyDescent="0.25">
      <c r="A84" s="1">
        <v>43232</v>
      </c>
      <c r="B84">
        <v>109.36</v>
      </c>
      <c r="C84" t="s">
        <v>30</v>
      </c>
      <c r="D84">
        <v>83</v>
      </c>
      <c r="E84">
        <f>0.0086* CurrExchange_2[[#This Row],[X3]] + 108.06</f>
        <v>108.77380000000001</v>
      </c>
      <c r="F84">
        <f>(CurrExchange_2[[#This Row],[Курс]]-CurrExchange_2[[#This Row],[M3]])^2</f>
        <v>0.34363043999998938</v>
      </c>
    </row>
    <row r="85" spans="1:6" x14ac:dyDescent="0.25">
      <c r="A85" s="1">
        <v>43235</v>
      </c>
      <c r="B85">
        <v>109.55</v>
      </c>
      <c r="C85" t="s">
        <v>30</v>
      </c>
      <c r="D85">
        <v>84</v>
      </c>
      <c r="E85">
        <f>0.0086* CurrExchange_2[[#This Row],[X3]] + 108.06</f>
        <v>108.7824</v>
      </c>
      <c r="F85">
        <f>(CurrExchange_2[[#This Row],[Курс]]-CurrExchange_2[[#This Row],[M3]])^2</f>
        <v>0.58920976000000247</v>
      </c>
    </row>
    <row r="86" spans="1:6" x14ac:dyDescent="0.25">
      <c r="A86" s="1">
        <v>43236</v>
      </c>
      <c r="B86">
        <v>109.87</v>
      </c>
      <c r="C86" t="s">
        <v>30</v>
      </c>
      <c r="D86">
        <v>85</v>
      </c>
      <c r="E86">
        <f>0.0086* CurrExchange_2[[#This Row],[X3]] + 108.06</f>
        <v>108.791</v>
      </c>
      <c r="F86">
        <f>(CurrExchange_2[[#This Row],[Курс]]-CurrExchange_2[[#This Row],[M3]])^2</f>
        <v>1.1642410000000167</v>
      </c>
    </row>
    <row r="87" spans="1:6" x14ac:dyDescent="0.25">
      <c r="A87" s="1">
        <v>43237</v>
      </c>
      <c r="B87">
        <v>110.18</v>
      </c>
      <c r="C87" t="s">
        <v>30</v>
      </c>
      <c r="D87">
        <v>86</v>
      </c>
      <c r="E87">
        <f>0.0086* CurrExchange_2[[#This Row],[X3]] + 108.06</f>
        <v>108.7996</v>
      </c>
      <c r="F87">
        <f>(CurrExchange_2[[#This Row],[Курс]]-CurrExchange_2[[#This Row],[M3]])^2</f>
        <v>1.9055041600000242</v>
      </c>
    </row>
    <row r="88" spans="1:6" x14ac:dyDescent="0.25">
      <c r="A88" s="1">
        <v>43238</v>
      </c>
      <c r="B88">
        <v>110.65</v>
      </c>
      <c r="C88" t="s">
        <v>30</v>
      </c>
      <c r="D88">
        <v>87</v>
      </c>
      <c r="E88">
        <f>0.0086* CurrExchange_2[[#This Row],[X3]] + 108.06</f>
        <v>108.8082</v>
      </c>
      <c r="F88">
        <f>(CurrExchange_2[[#This Row],[Курс]]-CurrExchange_2[[#This Row],[M3]])^2</f>
        <v>3.3922272400000231</v>
      </c>
    </row>
    <row r="89" spans="1:6" x14ac:dyDescent="0.25">
      <c r="A89" s="1">
        <v>43239</v>
      </c>
      <c r="B89">
        <v>110.95</v>
      </c>
      <c r="C89" t="s">
        <v>30</v>
      </c>
      <c r="D89">
        <v>88</v>
      </c>
      <c r="E89">
        <f>0.0086* CurrExchange_2[[#This Row],[X3]] + 108.06</f>
        <v>108.8168</v>
      </c>
      <c r="F89">
        <f>(CurrExchange_2[[#This Row],[Курс]]-CurrExchange_2[[#This Row],[M3]])^2</f>
        <v>4.5505422400000093</v>
      </c>
    </row>
    <row r="90" spans="1:6" x14ac:dyDescent="0.25">
      <c r="A90" s="1">
        <v>43242</v>
      </c>
      <c r="B90">
        <v>111.35</v>
      </c>
      <c r="C90" t="s">
        <v>30</v>
      </c>
      <c r="D90">
        <v>89</v>
      </c>
      <c r="E90">
        <f>0.0086* CurrExchange_2[[#This Row],[X3]] + 108.06</f>
        <v>108.8254</v>
      </c>
      <c r="F90">
        <f>(CurrExchange_2[[#This Row],[Курс]]-CurrExchange_2[[#This Row],[M3]])^2</f>
        <v>6.3736051599999612</v>
      </c>
    </row>
    <row r="91" spans="1:6" x14ac:dyDescent="0.25">
      <c r="A91" s="1">
        <v>43243</v>
      </c>
      <c r="B91">
        <v>110.99</v>
      </c>
      <c r="C91" t="s">
        <v>30</v>
      </c>
      <c r="D91">
        <v>90</v>
      </c>
      <c r="E91">
        <f>0.0086* CurrExchange_2[[#This Row],[X3]] + 108.06</f>
        <v>108.834</v>
      </c>
      <c r="F91">
        <f>(CurrExchange_2[[#This Row],[Курс]]-CurrExchange_2[[#This Row],[M3]])^2</f>
        <v>4.6483359999999641</v>
      </c>
    </row>
    <row r="92" spans="1:6" x14ac:dyDescent="0.25">
      <c r="A92" s="1">
        <v>43244</v>
      </c>
      <c r="B92">
        <v>109.92</v>
      </c>
      <c r="C92" t="s">
        <v>30</v>
      </c>
      <c r="D92">
        <v>91</v>
      </c>
      <c r="E92">
        <f>0.0086* CurrExchange_2[[#This Row],[X3]] + 108.06</f>
        <v>108.8426</v>
      </c>
      <c r="F92">
        <f>(CurrExchange_2[[#This Row],[Курс]]-CurrExchange_2[[#This Row],[M3]])^2</f>
        <v>1.160790759999994</v>
      </c>
    </row>
    <row r="93" spans="1:6" x14ac:dyDescent="0.25">
      <c r="A93" s="1">
        <v>43245</v>
      </c>
      <c r="B93">
        <v>109.68</v>
      </c>
      <c r="C93" t="s">
        <v>30</v>
      </c>
      <c r="D93">
        <v>92</v>
      </c>
      <c r="E93">
        <f>0.0086* CurrExchange_2[[#This Row],[X3]] + 108.06</f>
        <v>108.85120000000001</v>
      </c>
      <c r="F93">
        <f>(CurrExchange_2[[#This Row],[Курс]]-CurrExchange_2[[#This Row],[M3]])^2</f>
        <v>0.68690944000000176</v>
      </c>
    </row>
    <row r="94" spans="1:6" x14ac:dyDescent="0.25">
      <c r="A94" s="1">
        <v>43246</v>
      </c>
      <c r="B94">
        <v>109.46</v>
      </c>
      <c r="C94" t="s">
        <v>30</v>
      </c>
      <c r="D94">
        <v>93</v>
      </c>
      <c r="E94">
        <f>0.0086* CurrExchange_2[[#This Row],[X3]] + 108.06</f>
        <v>108.85980000000001</v>
      </c>
      <c r="F94">
        <f>(CurrExchange_2[[#This Row],[Курс]]-CurrExchange_2[[#This Row],[M3]])^2</f>
        <v>0.36024003999998411</v>
      </c>
    </row>
    <row r="95" spans="1:6" x14ac:dyDescent="0.25">
      <c r="A95" s="1">
        <v>43249</v>
      </c>
      <c r="B95">
        <v>109.43</v>
      </c>
      <c r="C95" t="s">
        <v>30</v>
      </c>
      <c r="D95">
        <v>94</v>
      </c>
      <c r="E95">
        <f>0.0086* CurrExchange_2[[#This Row],[X3]] + 108.06</f>
        <v>108.86840000000001</v>
      </c>
      <c r="F95">
        <f>(CurrExchange_2[[#This Row],[Курс]]-CurrExchange_2[[#This Row],[M3]])^2</f>
        <v>0.31539455999999838</v>
      </c>
    </row>
    <row r="96" spans="1:6" x14ac:dyDescent="0.25">
      <c r="A96" s="1">
        <v>43250</v>
      </c>
      <c r="B96">
        <v>108.56</v>
      </c>
      <c r="C96" t="s">
        <v>30</v>
      </c>
      <c r="D96">
        <v>95</v>
      </c>
      <c r="E96">
        <f>0.0086* CurrExchange_2[[#This Row],[X3]] + 108.06</f>
        <v>108.877</v>
      </c>
      <c r="F96">
        <f>(CurrExchange_2[[#This Row],[Курс]]-CurrExchange_2[[#This Row],[M3]])^2</f>
        <v>0.10048899999999561</v>
      </c>
    </row>
    <row r="97" spans="1:6" x14ac:dyDescent="0.25">
      <c r="A97" s="1">
        <v>43251</v>
      </c>
      <c r="B97">
        <v>108.66</v>
      </c>
      <c r="C97" t="s">
        <v>30</v>
      </c>
      <c r="D97">
        <v>96</v>
      </c>
      <c r="E97">
        <f>0.0086* CurrExchange_2[[#This Row],[X3]] + 108.06</f>
        <v>108.8856</v>
      </c>
      <c r="F97">
        <f>(CurrExchange_2[[#This Row],[Курс]]-CurrExchange_2[[#This Row],[M3]])^2</f>
        <v>5.0895360000000008E-2</v>
      </c>
    </row>
    <row r="98" spans="1:6" x14ac:dyDescent="0.25">
      <c r="A98" s="1">
        <v>43252</v>
      </c>
      <c r="B98">
        <v>108.84</v>
      </c>
      <c r="C98" t="s">
        <v>30</v>
      </c>
      <c r="D98">
        <v>97</v>
      </c>
      <c r="E98">
        <f>0.0086* CurrExchange_2[[#This Row],[X3]] + 108.06</f>
        <v>108.8942</v>
      </c>
      <c r="F98">
        <f>(CurrExchange_2[[#This Row],[Курс]]-CurrExchange_2[[#This Row],[M3]])^2</f>
        <v>2.9376399999994011E-3</v>
      </c>
    </row>
    <row r="99" spans="1:6" x14ac:dyDescent="0.25">
      <c r="A99" s="1">
        <v>43253</v>
      </c>
      <c r="B99">
        <v>109.13</v>
      </c>
      <c r="C99" t="s">
        <v>30</v>
      </c>
      <c r="D99">
        <v>98</v>
      </c>
      <c r="E99">
        <f>0.0086* CurrExchange_2[[#This Row],[X3]] + 108.06</f>
        <v>108.9028</v>
      </c>
      <c r="F99">
        <f>(CurrExchange_2[[#This Row],[Курс]]-CurrExchange_2[[#This Row],[M3]])^2</f>
        <v>5.1619839999998314E-2</v>
      </c>
    </row>
    <row r="100" spans="1:6" x14ac:dyDescent="0.25">
      <c r="A100" s="1">
        <v>43256</v>
      </c>
      <c r="B100">
        <v>109.52</v>
      </c>
      <c r="C100" t="s">
        <v>30</v>
      </c>
      <c r="D100">
        <v>99</v>
      </c>
      <c r="E100">
        <f>0.0086* CurrExchange_2[[#This Row],[X3]] + 108.06</f>
        <v>108.9114</v>
      </c>
      <c r="F100">
        <f>(CurrExchange_2[[#This Row],[Курс]]-CurrExchange_2[[#This Row],[M3]])^2</f>
        <v>0.37039395999999464</v>
      </c>
    </row>
    <row r="101" spans="1:6" x14ac:dyDescent="0.25">
      <c r="A101" s="1">
        <v>43257</v>
      </c>
      <c r="B101">
        <v>109.82</v>
      </c>
      <c r="C101" t="s">
        <v>30</v>
      </c>
      <c r="D101">
        <v>100</v>
      </c>
      <c r="E101">
        <f>0.0086* CurrExchange_2[[#This Row],[X3]] + 108.06</f>
        <v>108.92</v>
      </c>
      <c r="F101">
        <f>(CurrExchange_2[[#This Row],[Курс]]-CurrExchange_2[[#This Row],[M3]])^2</f>
        <v>0.80999999999998462</v>
      </c>
    </row>
    <row r="102" spans="1:6" x14ac:dyDescent="0.25">
      <c r="A102" s="1">
        <v>43258</v>
      </c>
      <c r="B102">
        <v>110.04</v>
      </c>
      <c r="C102" t="s">
        <v>30</v>
      </c>
      <c r="D102">
        <v>101</v>
      </c>
      <c r="E102">
        <f>0.0086* CurrExchange_2[[#This Row],[X3]] + 108.06</f>
        <v>108.9286</v>
      </c>
      <c r="F102">
        <f>(CurrExchange_2[[#This Row],[Курс]]-CurrExchange_2[[#This Row],[M3]])^2</f>
        <v>1.2352099600000073</v>
      </c>
    </row>
    <row r="103" spans="1:6" x14ac:dyDescent="0.25">
      <c r="A103" s="1">
        <v>43259</v>
      </c>
      <c r="B103">
        <v>109.94</v>
      </c>
      <c r="C103" t="s">
        <v>30</v>
      </c>
      <c r="D103">
        <v>102</v>
      </c>
      <c r="E103">
        <f>0.0086* CurrExchange_2[[#This Row],[X3]] + 108.06</f>
        <v>108.9372</v>
      </c>
      <c r="F103">
        <f>(CurrExchange_2[[#This Row],[Курс]]-CurrExchange_2[[#This Row],[M3]])^2</f>
        <v>1.0056078399999868</v>
      </c>
    </row>
    <row r="104" spans="1:6" x14ac:dyDescent="0.25">
      <c r="A104" s="1">
        <v>43260</v>
      </c>
      <c r="B104">
        <v>109.36</v>
      </c>
      <c r="C104" t="s">
        <v>30</v>
      </c>
      <c r="D104">
        <v>103</v>
      </c>
      <c r="E104">
        <f>0.0086* CurrExchange_2[[#This Row],[X3]] + 108.06</f>
        <v>108.94580000000001</v>
      </c>
      <c r="F104">
        <f>(CurrExchange_2[[#This Row],[Курс]]-CurrExchange_2[[#This Row],[M3]])^2</f>
        <v>0.17156163999999496</v>
      </c>
    </row>
    <row r="105" spans="1:6" x14ac:dyDescent="0.25">
      <c r="A105" s="1">
        <v>43261</v>
      </c>
      <c r="B105">
        <v>109.55</v>
      </c>
      <c r="C105" t="s">
        <v>30</v>
      </c>
      <c r="D105">
        <v>104</v>
      </c>
      <c r="E105">
        <f>0.0086* CurrExchange_2[[#This Row],[X3]] + 108.06</f>
        <v>108.95440000000001</v>
      </c>
      <c r="F105">
        <f>(CurrExchange_2[[#This Row],[Курс]]-CurrExchange_2[[#This Row],[M3]])^2</f>
        <v>0.35473935999998851</v>
      </c>
    </row>
    <row r="106" spans="1:6" x14ac:dyDescent="0.25">
      <c r="A106" s="1">
        <v>43265</v>
      </c>
      <c r="B106">
        <v>110.67</v>
      </c>
      <c r="C106" t="s">
        <v>30</v>
      </c>
      <c r="D106">
        <v>105</v>
      </c>
      <c r="E106">
        <f>0.0086* CurrExchange_2[[#This Row],[X3]] + 108.06</f>
        <v>108.96300000000001</v>
      </c>
      <c r="F106">
        <f>(CurrExchange_2[[#This Row],[Курс]]-CurrExchange_2[[#This Row],[M3]])^2</f>
        <v>2.9138489999999782</v>
      </c>
    </row>
    <row r="107" spans="1:6" x14ac:dyDescent="0.25">
      <c r="A107" s="1">
        <v>43266</v>
      </c>
      <c r="B107">
        <v>110.01</v>
      </c>
      <c r="C107" t="s">
        <v>30</v>
      </c>
      <c r="D107">
        <v>106</v>
      </c>
      <c r="E107">
        <f>0.0086* CurrExchange_2[[#This Row],[X3]] + 108.06</f>
        <v>108.9716</v>
      </c>
      <c r="F107">
        <f>(CurrExchange_2[[#This Row],[Курс]]-CurrExchange_2[[#This Row],[M3]])^2</f>
        <v>1.0782745600000208</v>
      </c>
    </row>
    <row r="108" spans="1:6" x14ac:dyDescent="0.25">
      <c r="A108" s="1">
        <v>43267</v>
      </c>
      <c r="B108">
        <v>110.46</v>
      </c>
      <c r="C108" t="s">
        <v>30</v>
      </c>
      <c r="D108">
        <v>107</v>
      </c>
      <c r="E108">
        <f>0.0086* CurrExchange_2[[#This Row],[X3]] + 108.06</f>
        <v>108.9802</v>
      </c>
      <c r="F108">
        <f>(CurrExchange_2[[#This Row],[Курс]]-CurrExchange_2[[#This Row],[M3]])^2</f>
        <v>2.189808039999992</v>
      </c>
    </row>
    <row r="109" spans="1:6" x14ac:dyDescent="0.25">
      <c r="A109" s="1">
        <v>43270</v>
      </c>
      <c r="B109">
        <v>110.49</v>
      </c>
      <c r="C109" t="s">
        <v>30</v>
      </c>
      <c r="D109">
        <v>108</v>
      </c>
      <c r="E109">
        <f>0.0086* CurrExchange_2[[#This Row],[X3]] + 108.06</f>
        <v>108.9888</v>
      </c>
      <c r="F109">
        <f>(CurrExchange_2[[#This Row],[Курс]]-CurrExchange_2[[#This Row],[M3]])^2</f>
        <v>2.2536014399999917</v>
      </c>
    </row>
    <row r="110" spans="1:6" x14ac:dyDescent="0.25">
      <c r="A110" s="1">
        <v>43271</v>
      </c>
      <c r="B110">
        <v>109.69</v>
      </c>
      <c r="C110" t="s">
        <v>30</v>
      </c>
      <c r="D110">
        <v>109</v>
      </c>
      <c r="E110">
        <f>0.0086* CurrExchange_2[[#This Row],[X3]] + 108.06</f>
        <v>108.9974</v>
      </c>
      <c r="F110">
        <f>(CurrExchange_2[[#This Row],[Курс]]-CurrExchange_2[[#This Row],[M3]])^2</f>
        <v>0.47969475999999828</v>
      </c>
    </row>
    <row r="111" spans="1:6" x14ac:dyDescent="0.25">
      <c r="A111" s="1">
        <v>43272</v>
      </c>
      <c r="B111">
        <v>110.14</v>
      </c>
      <c r="C111" t="s">
        <v>30</v>
      </c>
      <c r="D111">
        <v>110</v>
      </c>
      <c r="E111">
        <f>0.0086* CurrExchange_2[[#This Row],[X3]] + 108.06</f>
        <v>109.006</v>
      </c>
      <c r="F111">
        <f>(CurrExchange_2[[#This Row],[Курс]]-CurrExchange_2[[#This Row],[M3]])^2</f>
        <v>1.2859560000000008</v>
      </c>
    </row>
    <row r="112" spans="1:6" x14ac:dyDescent="0.25">
      <c r="A112" s="1">
        <v>43273</v>
      </c>
      <c r="B112">
        <v>110.58</v>
      </c>
      <c r="C112" t="s">
        <v>30</v>
      </c>
      <c r="D112">
        <v>111</v>
      </c>
      <c r="E112">
        <f>0.0086* CurrExchange_2[[#This Row],[X3]] + 108.06</f>
        <v>109.0146</v>
      </c>
      <c r="F112">
        <f>(CurrExchange_2[[#This Row],[Курс]]-CurrExchange_2[[#This Row],[M3]])^2</f>
        <v>2.4504771599999899</v>
      </c>
    </row>
    <row r="113" spans="1:6" x14ac:dyDescent="0.25">
      <c r="A113" s="1">
        <v>43274</v>
      </c>
      <c r="B113">
        <v>110.19</v>
      </c>
      <c r="C113" t="s">
        <v>30</v>
      </c>
      <c r="D113">
        <v>112</v>
      </c>
      <c r="E113">
        <f>0.0086* CurrExchange_2[[#This Row],[X3]] + 108.06</f>
        <v>109.0232</v>
      </c>
      <c r="F113">
        <f>(CurrExchange_2[[#This Row],[Курс]]-CurrExchange_2[[#This Row],[M3]])^2</f>
        <v>1.3614222399999882</v>
      </c>
    </row>
    <row r="114" spans="1:6" x14ac:dyDescent="0.25">
      <c r="A114" s="1">
        <v>43277</v>
      </c>
      <c r="B114">
        <v>109.52</v>
      </c>
      <c r="C114" t="s">
        <v>30</v>
      </c>
      <c r="D114">
        <v>113</v>
      </c>
      <c r="E114">
        <f>0.0086* CurrExchange_2[[#This Row],[X3]] + 108.06</f>
        <v>109.0318</v>
      </c>
      <c r="F114">
        <f>(CurrExchange_2[[#This Row],[Курс]]-CurrExchange_2[[#This Row],[M3]])^2</f>
        <v>0.23833923999999215</v>
      </c>
    </row>
    <row r="115" spans="1:6" x14ac:dyDescent="0.25">
      <c r="A115" s="1">
        <v>43278</v>
      </c>
      <c r="B115">
        <v>109.68</v>
      </c>
      <c r="C115" t="s">
        <v>30</v>
      </c>
      <c r="D115">
        <v>114</v>
      </c>
      <c r="E115">
        <f>0.0086* CurrExchange_2[[#This Row],[X3]] + 108.06</f>
        <v>109.04040000000001</v>
      </c>
      <c r="F115">
        <f>(CurrExchange_2[[#This Row],[Курс]]-CurrExchange_2[[#This Row],[M3]])^2</f>
        <v>0.40908816000000192</v>
      </c>
    </row>
    <row r="116" spans="1:6" x14ac:dyDescent="0.25">
      <c r="A116" s="1">
        <v>43279</v>
      </c>
      <c r="B116">
        <v>109.78</v>
      </c>
      <c r="C116" t="s">
        <v>30</v>
      </c>
      <c r="D116">
        <v>115</v>
      </c>
      <c r="E116">
        <f>0.0086* CurrExchange_2[[#This Row],[X3]] + 108.06</f>
        <v>109.04900000000001</v>
      </c>
      <c r="F116">
        <f>(CurrExchange_2[[#This Row],[Курс]]-CurrExchange_2[[#This Row],[M3]])^2</f>
        <v>0.53436099999999198</v>
      </c>
    </row>
    <row r="117" spans="1:6" x14ac:dyDescent="0.25">
      <c r="A117" s="1">
        <v>43280</v>
      </c>
      <c r="B117">
        <v>110.39</v>
      </c>
      <c r="C117" t="s">
        <v>30</v>
      </c>
      <c r="D117">
        <v>116</v>
      </c>
      <c r="E117">
        <f>0.0086* CurrExchange_2[[#This Row],[X3]] + 108.06</f>
        <v>109.05760000000001</v>
      </c>
      <c r="F117">
        <f>(CurrExchange_2[[#This Row],[Курс]]-CurrExchange_2[[#This Row],[M3]])^2</f>
        <v>1.7752897599999806</v>
      </c>
    </row>
    <row r="118" spans="1:6" x14ac:dyDescent="0.25">
      <c r="A118" s="1">
        <v>43281</v>
      </c>
      <c r="B118">
        <v>110.68</v>
      </c>
      <c r="C118" t="s">
        <v>30</v>
      </c>
      <c r="D118">
        <v>117</v>
      </c>
      <c r="E118">
        <f>0.0086* CurrExchange_2[[#This Row],[X3]] + 108.06</f>
        <v>109.06620000000001</v>
      </c>
      <c r="F118">
        <f>(CurrExchange_2[[#This Row],[Курс]]-CurrExchange_2[[#This Row],[M3]])^2</f>
        <v>2.6043504399999926</v>
      </c>
    </row>
    <row r="119" spans="1:6" x14ac:dyDescent="0.25">
      <c r="A119" s="1"/>
      <c r="F119">
        <f>SUBTOTAL(109,CurrExchange_2[S3])</f>
        <v>372.93380060000021</v>
      </c>
    </row>
  </sheetData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A77A-01B6-4445-B4D2-90B88C269ED6}">
  <dimension ref="A1:H248"/>
  <sheetViews>
    <sheetView topLeftCell="A34" zoomScaleNormal="100" workbookViewId="0">
      <selection activeCell="H68" sqref="H68"/>
    </sheetView>
  </sheetViews>
  <sheetFormatPr defaultRowHeight="15" x14ac:dyDescent="0.25"/>
  <cols>
    <col min="1" max="1" width="10.140625" bestFit="1" customWidth="1"/>
    <col min="2" max="2" width="7.42578125" bestFit="1" customWidth="1"/>
    <col min="3" max="3" width="9.7109375" bestFit="1" customWidth="1"/>
    <col min="4" max="4" width="10" bestFit="1" customWidth="1"/>
    <col min="5" max="5" width="17.28515625" bestFit="1" customWidth="1"/>
    <col min="6" max="6" width="22.28515625" bestFit="1" customWidth="1"/>
    <col min="7" max="7" width="17.85546875" customWidth="1"/>
    <col min="15" max="15" width="10.28515625" bestFit="1" customWidth="1"/>
    <col min="16" max="16" width="7.42578125" bestFit="1" customWidth="1"/>
  </cols>
  <sheetData>
    <row r="1" spans="1:3" x14ac:dyDescent="0.25">
      <c r="A1" t="s">
        <v>0</v>
      </c>
      <c r="B1" t="s">
        <v>15</v>
      </c>
      <c r="C1" t="s">
        <v>31</v>
      </c>
    </row>
    <row r="2" spans="1:3" x14ac:dyDescent="0.25">
      <c r="A2" s="1">
        <v>43110</v>
      </c>
      <c r="B2">
        <v>112.86</v>
      </c>
      <c r="C2" t="s">
        <v>30</v>
      </c>
    </row>
    <row r="3" spans="1:3" x14ac:dyDescent="0.25">
      <c r="A3" s="1">
        <v>43111</v>
      </c>
      <c r="B3">
        <v>111.93</v>
      </c>
      <c r="C3" t="s">
        <v>30</v>
      </c>
    </row>
    <row r="4" spans="1:3" x14ac:dyDescent="0.25">
      <c r="A4" s="1">
        <v>43112</v>
      </c>
      <c r="B4">
        <v>111.69</v>
      </c>
      <c r="C4" t="s">
        <v>30</v>
      </c>
    </row>
    <row r="5" spans="1:3" x14ac:dyDescent="0.25">
      <c r="A5" s="1">
        <v>43113</v>
      </c>
      <c r="B5">
        <v>111.26</v>
      </c>
      <c r="C5" t="s">
        <v>30</v>
      </c>
    </row>
    <row r="6" spans="1:3" x14ac:dyDescent="0.25">
      <c r="A6" s="1">
        <v>43116</v>
      </c>
      <c r="B6">
        <v>110.7</v>
      </c>
      <c r="C6" t="s">
        <v>30</v>
      </c>
    </row>
    <row r="7" spans="1:3" x14ac:dyDescent="0.25">
      <c r="A7" s="1">
        <v>43117</v>
      </c>
      <c r="B7">
        <v>110.71</v>
      </c>
      <c r="C7" t="s">
        <v>30</v>
      </c>
    </row>
    <row r="8" spans="1:3" x14ac:dyDescent="0.25">
      <c r="A8" s="1">
        <v>43118</v>
      </c>
      <c r="B8">
        <v>110.76</v>
      </c>
      <c r="C8" t="s">
        <v>30</v>
      </c>
    </row>
    <row r="9" spans="1:3" x14ac:dyDescent="0.25">
      <c r="A9" s="1">
        <v>43119</v>
      </c>
      <c r="B9">
        <v>111.21</v>
      </c>
      <c r="C9" t="s">
        <v>30</v>
      </c>
    </row>
    <row r="10" spans="1:3" x14ac:dyDescent="0.25">
      <c r="A10" s="1">
        <v>43120</v>
      </c>
      <c r="B10">
        <v>110.58</v>
      </c>
      <c r="C10" t="s">
        <v>30</v>
      </c>
    </row>
    <row r="11" spans="1:3" x14ac:dyDescent="0.25">
      <c r="A11" s="1">
        <v>43123</v>
      </c>
      <c r="B11">
        <v>110.85</v>
      </c>
      <c r="C11" t="s">
        <v>30</v>
      </c>
    </row>
    <row r="12" spans="1:3" x14ac:dyDescent="0.25">
      <c r="A12" s="1">
        <v>43124</v>
      </c>
      <c r="B12">
        <v>110.95</v>
      </c>
      <c r="C12" t="s">
        <v>30</v>
      </c>
    </row>
    <row r="13" spans="1:3" x14ac:dyDescent="0.25">
      <c r="A13" s="1">
        <v>43125</v>
      </c>
      <c r="B13">
        <v>109.87</v>
      </c>
      <c r="C13" t="s">
        <v>30</v>
      </c>
    </row>
    <row r="14" spans="1:3" x14ac:dyDescent="0.25">
      <c r="A14" s="1">
        <v>43126</v>
      </c>
      <c r="B14">
        <v>109.12</v>
      </c>
      <c r="C14" t="s">
        <v>30</v>
      </c>
    </row>
    <row r="15" spans="1:3" x14ac:dyDescent="0.25">
      <c r="A15" s="1">
        <v>43127</v>
      </c>
      <c r="B15">
        <v>108.98</v>
      </c>
      <c r="C15" t="s">
        <v>30</v>
      </c>
    </row>
    <row r="16" spans="1:3" x14ac:dyDescent="0.25">
      <c r="A16" s="1">
        <v>43130</v>
      </c>
      <c r="B16">
        <v>108.97</v>
      </c>
      <c r="C16" t="s">
        <v>30</v>
      </c>
    </row>
    <row r="17" spans="1:6" x14ac:dyDescent="0.25">
      <c r="A17" s="1">
        <v>43131</v>
      </c>
      <c r="B17">
        <v>108.76</v>
      </c>
      <c r="C17" t="s">
        <v>30</v>
      </c>
    </row>
    <row r="18" spans="1:6" x14ac:dyDescent="0.25">
      <c r="A18" s="1">
        <v>43132</v>
      </c>
      <c r="B18">
        <v>108.69</v>
      </c>
      <c r="C18" t="s">
        <v>30</v>
      </c>
    </row>
    <row r="19" spans="1:6" x14ac:dyDescent="0.25">
      <c r="A19" s="1">
        <v>43133</v>
      </c>
      <c r="B19">
        <v>109.54</v>
      </c>
      <c r="C19" t="s">
        <v>30</v>
      </c>
      <c r="E19" s="17" t="s">
        <v>16</v>
      </c>
      <c r="F19" t="s">
        <v>29</v>
      </c>
    </row>
    <row r="20" spans="1:6" x14ac:dyDescent="0.25">
      <c r="A20" s="1">
        <v>43134</v>
      </c>
      <c r="B20">
        <v>109.76</v>
      </c>
      <c r="C20" t="s">
        <v>30</v>
      </c>
      <c r="E20" s="18" t="s">
        <v>17</v>
      </c>
      <c r="F20" s="20">
        <v>110.57500000000002</v>
      </c>
    </row>
    <row r="21" spans="1:6" x14ac:dyDescent="0.25">
      <c r="A21" s="1">
        <v>43137</v>
      </c>
      <c r="B21">
        <v>109.86</v>
      </c>
      <c r="C21" t="s">
        <v>30</v>
      </c>
      <c r="E21" s="18" t="s">
        <v>18</v>
      </c>
      <c r="F21" s="20">
        <v>108.07210526315791</v>
      </c>
    </row>
    <row r="22" spans="1:6" x14ac:dyDescent="0.25">
      <c r="A22" s="1">
        <v>43138</v>
      </c>
      <c r="B22">
        <v>109.23</v>
      </c>
      <c r="C22" t="s">
        <v>30</v>
      </c>
      <c r="E22" s="18" t="s">
        <v>19</v>
      </c>
      <c r="F22" s="20">
        <v>106.06142857142855</v>
      </c>
    </row>
    <row r="23" spans="1:6" x14ac:dyDescent="0.25">
      <c r="A23" s="1">
        <v>43139</v>
      </c>
      <c r="B23">
        <v>109.01</v>
      </c>
      <c r="C23" t="s">
        <v>30</v>
      </c>
      <c r="E23" s="18" t="s">
        <v>20</v>
      </c>
      <c r="F23" s="20">
        <v>107.55857142857141</v>
      </c>
    </row>
    <row r="24" spans="1:6" x14ac:dyDescent="0.25">
      <c r="A24" s="1">
        <v>43140</v>
      </c>
      <c r="B24">
        <v>109.72</v>
      </c>
      <c r="C24" t="s">
        <v>30</v>
      </c>
      <c r="E24" s="18" t="s">
        <v>21</v>
      </c>
      <c r="F24" s="20">
        <v>109.76052631578949</v>
      </c>
    </row>
    <row r="25" spans="1:6" x14ac:dyDescent="0.25">
      <c r="A25" s="1">
        <v>43141</v>
      </c>
      <c r="B25">
        <v>109.25</v>
      </c>
      <c r="C25" t="s">
        <v>30</v>
      </c>
      <c r="E25" s="18" t="s">
        <v>22</v>
      </c>
      <c r="F25" s="20">
        <v>109.92761904761905</v>
      </c>
    </row>
    <row r="26" spans="1:6" x14ac:dyDescent="0.25">
      <c r="A26" s="1">
        <v>43144</v>
      </c>
      <c r="B26">
        <v>108.6</v>
      </c>
      <c r="C26" t="s">
        <v>30</v>
      </c>
      <c r="E26" s="18" t="s">
        <v>23</v>
      </c>
      <c r="F26" s="20">
        <v>111.46523809523809</v>
      </c>
    </row>
    <row r="27" spans="1:6" x14ac:dyDescent="0.25">
      <c r="A27" s="1">
        <v>43145</v>
      </c>
      <c r="B27">
        <v>107.62</v>
      </c>
      <c r="C27" t="s">
        <v>30</v>
      </c>
      <c r="E27" s="18" t="s">
        <v>24</v>
      </c>
      <c r="F27" s="20">
        <v>111.07869565217393</v>
      </c>
    </row>
    <row r="28" spans="1:6" x14ac:dyDescent="0.25">
      <c r="A28" s="1">
        <v>43146</v>
      </c>
      <c r="B28">
        <v>107.37</v>
      </c>
      <c r="C28" t="s">
        <v>30</v>
      </c>
      <c r="E28" s="18" t="s">
        <v>25</v>
      </c>
      <c r="F28" s="20">
        <v>111.88952380952382</v>
      </c>
    </row>
    <row r="29" spans="1:6" x14ac:dyDescent="0.25">
      <c r="A29" s="1">
        <v>43147</v>
      </c>
      <c r="B29">
        <v>106.46</v>
      </c>
      <c r="C29" t="s">
        <v>30</v>
      </c>
      <c r="E29" s="18" t="s">
        <v>26</v>
      </c>
      <c r="F29" s="20">
        <v>112.82590909090909</v>
      </c>
    </row>
    <row r="30" spans="1:6" x14ac:dyDescent="0.25">
      <c r="A30" s="1">
        <v>43148</v>
      </c>
      <c r="B30">
        <v>105.89</v>
      </c>
      <c r="C30" t="s">
        <v>30</v>
      </c>
      <c r="E30" s="18" t="s">
        <v>27</v>
      </c>
      <c r="F30" s="20">
        <v>113.32142857142857</v>
      </c>
    </row>
    <row r="31" spans="1:6" x14ac:dyDescent="0.25">
      <c r="A31" s="1">
        <v>43151</v>
      </c>
      <c r="B31">
        <v>106.58</v>
      </c>
      <c r="C31" t="s">
        <v>30</v>
      </c>
      <c r="E31" s="18" t="s">
        <v>28</v>
      </c>
      <c r="F31" s="20">
        <v>112.25681818181819</v>
      </c>
    </row>
    <row r="32" spans="1:6" x14ac:dyDescent="0.25">
      <c r="A32" s="1">
        <v>43152</v>
      </c>
      <c r="B32">
        <v>107.08</v>
      </c>
      <c r="C32" t="s">
        <v>30</v>
      </c>
    </row>
    <row r="33" spans="1:8" x14ac:dyDescent="0.25">
      <c r="A33" s="1">
        <v>43153</v>
      </c>
      <c r="B33">
        <v>107.67</v>
      </c>
      <c r="C33" t="s">
        <v>30</v>
      </c>
    </row>
    <row r="34" spans="1:8" x14ac:dyDescent="0.25">
      <c r="A34" s="1">
        <v>43154</v>
      </c>
      <c r="B34">
        <v>107.34</v>
      </c>
      <c r="C34" t="s">
        <v>30</v>
      </c>
    </row>
    <row r="35" spans="1:8" x14ac:dyDescent="0.25">
      <c r="A35" s="1">
        <v>43158</v>
      </c>
      <c r="B35">
        <v>106.63</v>
      </c>
      <c r="C35" t="s">
        <v>30</v>
      </c>
    </row>
    <row r="36" spans="1:8" x14ac:dyDescent="0.25">
      <c r="A36" s="1">
        <v>43159</v>
      </c>
      <c r="B36">
        <v>107.07</v>
      </c>
      <c r="C36" t="s">
        <v>30</v>
      </c>
      <c r="E36" t="s">
        <v>1</v>
      </c>
      <c r="F36" t="s">
        <v>30</v>
      </c>
      <c r="G36" s="23" t="s">
        <v>67</v>
      </c>
      <c r="H36" t="s">
        <v>68</v>
      </c>
    </row>
    <row r="37" spans="1:8" x14ac:dyDescent="0.25">
      <c r="A37" s="1">
        <v>43160</v>
      </c>
      <c r="B37">
        <v>107.15</v>
      </c>
      <c r="C37" t="s">
        <v>30</v>
      </c>
      <c r="E37">
        <v>0</v>
      </c>
      <c r="F37" s="20">
        <f>GETPIVOTDATA("Курс",$E$19,"Месяцы",Таблица1[[#This Row],[Индекс]]+1)</f>
        <v>110.57500000000002</v>
      </c>
      <c r="G37" s="20">
        <f>AVERAGE(F37:F38)</f>
        <v>109.32355263157896</v>
      </c>
      <c r="H37" s="20">
        <f>Таблица1[[#This Row],[USD-JPY]]-Таблица1[[#This Row],[S]]</f>
        <v>1.2514473684210543</v>
      </c>
    </row>
    <row r="38" spans="1:8" x14ac:dyDescent="0.25">
      <c r="A38" s="1">
        <v>43161</v>
      </c>
      <c r="B38">
        <v>106.8</v>
      </c>
      <c r="C38" t="s">
        <v>30</v>
      </c>
      <c r="E38">
        <v>1</v>
      </c>
      <c r="F38" s="20">
        <f>GETPIVOTDATA("Курс",$E$19,"Месяцы",Таблица1[[#This Row],[Индекс]]+1)</f>
        <v>108.07210526315791</v>
      </c>
      <c r="G38" s="20">
        <f>$E$52*Таблица1[[#This Row],[USD-JPY]]+(1-$E$52)*G37</f>
        <v>108.57268421052632</v>
      </c>
      <c r="H38" s="20">
        <f>Таблица1[[#This Row],[USD-JPY]]-Таблица1[[#This Row],[S]]</f>
        <v>-0.50057894736841035</v>
      </c>
    </row>
    <row r="39" spans="1:8" x14ac:dyDescent="0.25">
      <c r="A39" s="1">
        <v>43162</v>
      </c>
      <c r="B39">
        <v>105.79</v>
      </c>
      <c r="C39" t="s">
        <v>30</v>
      </c>
      <c r="E39">
        <v>2</v>
      </c>
      <c r="F39" s="20">
        <f>GETPIVOTDATA("Курс",$E$19,"Месяцы",Таблица1[[#This Row],[Индекс]]+1)</f>
        <v>106.06142857142855</v>
      </c>
      <c r="G39" s="20">
        <f>$E$52*Таблица1[[#This Row],[USD-JPY]]+(1-$E$52)*G38</f>
        <v>107.06593082706766</v>
      </c>
      <c r="H39" s="20">
        <f>Таблица1[[#This Row],[USD-JPY]]-Таблица1[[#This Row],[S]]</f>
        <v>-1.0045022556391103</v>
      </c>
    </row>
    <row r="40" spans="1:8" x14ac:dyDescent="0.25">
      <c r="A40" s="1">
        <v>43165</v>
      </c>
      <c r="B40">
        <v>105.49</v>
      </c>
      <c r="C40" t="s">
        <v>30</v>
      </c>
      <c r="E40">
        <v>3</v>
      </c>
      <c r="F40" s="20">
        <f>GETPIVOTDATA("Курс",$E$19,"Месяцы",Таблица1[[#This Row],[Индекс]]+1)</f>
        <v>107.55857142857141</v>
      </c>
      <c r="G40" s="20">
        <f>$E$52*Таблица1[[#This Row],[USD-JPY]]+(1-$E$52)*G39</f>
        <v>107.36151518796991</v>
      </c>
      <c r="H40" s="20">
        <f>Таблица1[[#This Row],[USD-JPY]]-Таблица1[[#This Row],[S]]</f>
        <v>0.19705624060149773</v>
      </c>
    </row>
    <row r="41" spans="1:8" x14ac:dyDescent="0.25">
      <c r="A41" s="1">
        <v>43166</v>
      </c>
      <c r="B41">
        <v>106.05</v>
      </c>
      <c r="C41" t="s">
        <v>30</v>
      </c>
      <c r="E41">
        <v>4</v>
      </c>
      <c r="F41" s="20">
        <f>GETPIVOTDATA("Курс",$E$19,"Месяцы",Таблица1[[#This Row],[Индекс]]+1)</f>
        <v>109.76052631578949</v>
      </c>
      <c r="G41" s="20">
        <f>$E$52*Таблица1[[#This Row],[USD-JPY]]+(1-$E$52)*G40</f>
        <v>108.80092186466166</v>
      </c>
      <c r="H41" s="20">
        <f>Таблица1[[#This Row],[USD-JPY]]-Таблица1[[#This Row],[S]]</f>
        <v>0.95960445112783077</v>
      </c>
    </row>
    <row r="42" spans="1:8" x14ac:dyDescent="0.25">
      <c r="A42" s="1">
        <v>43167</v>
      </c>
      <c r="B42">
        <v>105.79</v>
      </c>
      <c r="C42" t="s">
        <v>30</v>
      </c>
      <c r="E42">
        <v>5</v>
      </c>
      <c r="F42" s="20">
        <f>GETPIVOTDATA("Курс",$E$19,"Месяцы",Таблица1[[#This Row],[Индекс]]+1)</f>
        <v>109.92761904761905</v>
      </c>
      <c r="G42" s="20">
        <f>$E$52*Таблица1[[#This Row],[USD-JPY]]+(1-$E$52)*G41</f>
        <v>109.47694017443609</v>
      </c>
      <c r="H42" s="20">
        <f>Таблица1[[#This Row],[USD-JPY]]-Таблица1[[#This Row],[S]]</f>
        <v>0.45067887318295163</v>
      </c>
    </row>
    <row r="43" spans="1:8" x14ac:dyDescent="0.25">
      <c r="A43" s="1">
        <v>43172</v>
      </c>
      <c r="B43">
        <v>106.49</v>
      </c>
      <c r="C43" t="s">
        <v>30</v>
      </c>
      <c r="E43">
        <v>6</v>
      </c>
      <c r="F43" s="20">
        <f>GETPIVOTDATA("Курс",$E$19,"Месяцы",Таблица1[[#This Row],[Индекс]]+1)</f>
        <v>111.46523809523809</v>
      </c>
      <c r="G43" s="20">
        <f>$E$52*Таблица1[[#This Row],[USD-JPY]]+(1-$E$52)*G42</f>
        <v>110.66991892691729</v>
      </c>
      <c r="H43" s="20">
        <f>Таблица1[[#This Row],[USD-JPY]]-Таблица1[[#This Row],[S]]</f>
        <v>0.79531916832080185</v>
      </c>
    </row>
    <row r="44" spans="1:8" x14ac:dyDescent="0.25">
      <c r="A44" s="1">
        <v>43173</v>
      </c>
      <c r="B44">
        <v>106.93</v>
      </c>
      <c r="C44" t="s">
        <v>30</v>
      </c>
      <c r="E44">
        <v>7</v>
      </c>
      <c r="F44" s="20">
        <f>GETPIVOTDATA("Курс",$E$19,"Месяцы",Таблица1[[#This Row],[Индекс]]+1)</f>
        <v>111.07869565217393</v>
      </c>
      <c r="G44" s="20">
        <f>$E$52*Таблица1[[#This Row],[USD-JPY]]+(1-$E$52)*G43</f>
        <v>110.91518496207127</v>
      </c>
      <c r="H44" s="20">
        <f>Таблица1[[#This Row],[USD-JPY]]-Таблица1[[#This Row],[S]]</f>
        <v>0.16351069010266883</v>
      </c>
    </row>
    <row r="45" spans="1:8" x14ac:dyDescent="0.25">
      <c r="A45" s="1">
        <v>43174</v>
      </c>
      <c r="B45">
        <v>106.65</v>
      </c>
      <c r="C45" t="s">
        <v>30</v>
      </c>
      <c r="E45">
        <v>8</v>
      </c>
      <c r="F45" s="20">
        <f>GETPIVOTDATA("Курс",$E$19,"Месяцы",Таблица1[[#This Row],[Индекс]]+1)</f>
        <v>111.88952380952382</v>
      </c>
      <c r="G45" s="20">
        <f>$E$52*Таблица1[[#This Row],[USD-JPY]]+(1-$E$52)*G44</f>
        <v>111.49978827054281</v>
      </c>
      <c r="H45" s="20">
        <f>Таблица1[[#This Row],[USD-JPY]]-Таблица1[[#This Row],[S]]</f>
        <v>0.38973553898101443</v>
      </c>
    </row>
    <row r="46" spans="1:8" x14ac:dyDescent="0.25">
      <c r="A46" s="1">
        <v>43175</v>
      </c>
      <c r="B46">
        <v>106.12</v>
      </c>
      <c r="C46" t="s">
        <v>30</v>
      </c>
      <c r="E46">
        <v>9</v>
      </c>
      <c r="F46" s="20">
        <f>GETPIVOTDATA("Курс",$E$19,"Месяцы",Таблица1[[#This Row],[Индекс]]+1)</f>
        <v>112.82590909090909</v>
      </c>
      <c r="G46" s="20">
        <f>$E$52*Таблица1[[#This Row],[USD-JPY]]+(1-$E$52)*G45</f>
        <v>112.29546076276259</v>
      </c>
      <c r="H46" s="20">
        <f>Таблица1[[#This Row],[USD-JPY]]-Таблица1[[#This Row],[S]]</f>
        <v>0.53044832814650533</v>
      </c>
    </row>
    <row r="47" spans="1:8" x14ac:dyDescent="0.25">
      <c r="A47" s="1">
        <v>43176</v>
      </c>
      <c r="B47">
        <v>105.72</v>
      </c>
      <c r="C47" t="s">
        <v>30</v>
      </c>
      <c r="E47">
        <v>10</v>
      </c>
      <c r="F47" s="20">
        <f>GETPIVOTDATA("Курс",$E$19,"Месяцы",Таблица1[[#This Row],[Индекс]]+1)</f>
        <v>113.32142857142857</v>
      </c>
      <c r="G47" s="20">
        <f>$E$52*Таблица1[[#This Row],[USD-JPY]]+(1-$E$52)*G46</f>
        <v>112.91104144796216</v>
      </c>
      <c r="H47" s="20">
        <f>Таблица1[[#This Row],[USD-JPY]]-Таблица1[[#This Row],[S]]</f>
        <v>0.41038712346640693</v>
      </c>
    </row>
    <row r="48" spans="1:8" x14ac:dyDescent="0.25">
      <c r="A48" s="1">
        <v>43179</v>
      </c>
      <c r="B48">
        <v>105.85</v>
      </c>
      <c r="C48" t="s">
        <v>30</v>
      </c>
      <c r="E48">
        <v>11</v>
      </c>
      <c r="F48" s="20">
        <f>GETPIVOTDATA("Курс",$E$19,"Месяцы",Таблица1[[#This Row],[Индекс]]+1)</f>
        <v>112.25681818181819</v>
      </c>
      <c r="G48" s="20">
        <f>$E$52*Таблица1[[#This Row],[USD-JPY]]+(1-$E$52)*G47</f>
        <v>112.51850748827579</v>
      </c>
      <c r="H48" s="20">
        <f>Таблица1[[#This Row],[USD-JPY]]-Таблица1[[#This Row],[S]]</f>
        <v>-0.26168930645759758</v>
      </c>
    </row>
    <row r="49" spans="1:6" x14ac:dyDescent="0.25">
      <c r="A49" s="1">
        <v>43180</v>
      </c>
      <c r="B49">
        <v>106.43</v>
      </c>
      <c r="C49" t="s">
        <v>30</v>
      </c>
    </row>
    <row r="50" spans="1:6" x14ac:dyDescent="0.25">
      <c r="A50" s="1">
        <v>43181</v>
      </c>
      <c r="B50">
        <v>106.31</v>
      </c>
      <c r="C50" t="s">
        <v>30</v>
      </c>
    </row>
    <row r="51" spans="1:6" x14ac:dyDescent="0.25">
      <c r="A51" s="1">
        <v>43182</v>
      </c>
      <c r="B51">
        <v>105.71</v>
      </c>
      <c r="C51" t="s">
        <v>30</v>
      </c>
      <c r="E51" s="21" t="s">
        <v>66</v>
      </c>
    </row>
    <row r="52" spans="1:6" x14ac:dyDescent="0.25">
      <c r="A52" s="1">
        <v>43183</v>
      </c>
      <c r="B52">
        <v>105.02</v>
      </c>
      <c r="C52" t="s">
        <v>30</v>
      </c>
      <c r="E52" s="22">
        <v>0.6</v>
      </c>
    </row>
    <row r="53" spans="1:6" x14ac:dyDescent="0.25">
      <c r="A53" s="1">
        <v>43186</v>
      </c>
      <c r="B53">
        <v>105.09</v>
      </c>
      <c r="C53" t="s">
        <v>30</v>
      </c>
    </row>
    <row r="54" spans="1:6" ht="15.75" thickBot="1" x14ac:dyDescent="0.3">
      <c r="A54" s="1">
        <v>43187</v>
      </c>
      <c r="B54">
        <v>105.53</v>
      </c>
      <c r="C54" t="s">
        <v>30</v>
      </c>
    </row>
    <row r="55" spans="1:6" x14ac:dyDescent="0.25">
      <c r="A55" s="1">
        <v>43188</v>
      </c>
      <c r="B55">
        <v>105.59</v>
      </c>
      <c r="C55" t="s">
        <v>30</v>
      </c>
      <c r="E55" s="4" t="s">
        <v>2</v>
      </c>
      <c r="F55" s="4" t="s">
        <v>4</v>
      </c>
    </row>
    <row r="56" spans="1:6" x14ac:dyDescent="0.25">
      <c r="A56" s="1">
        <v>43189</v>
      </c>
      <c r="B56">
        <v>106.6</v>
      </c>
      <c r="C56" t="s">
        <v>30</v>
      </c>
      <c r="E56" s="2">
        <v>-1.0045022556391103</v>
      </c>
      <c r="F56" s="2">
        <v>1</v>
      </c>
    </row>
    <row r="57" spans="1:6" x14ac:dyDescent="0.25">
      <c r="A57" s="1">
        <v>43190</v>
      </c>
      <c r="B57">
        <v>106.18</v>
      </c>
      <c r="C57" t="s">
        <v>30</v>
      </c>
      <c r="E57" s="2">
        <v>-0.25251904761905541</v>
      </c>
      <c r="F57" s="2">
        <v>2</v>
      </c>
    </row>
    <row r="58" spans="1:6" x14ac:dyDescent="0.25">
      <c r="A58" s="1">
        <v>43193</v>
      </c>
      <c r="B58">
        <v>106.3</v>
      </c>
      <c r="C58" t="s">
        <v>30</v>
      </c>
      <c r="E58" s="2">
        <v>0.4994641604009995</v>
      </c>
      <c r="F58" s="2">
        <v>5</v>
      </c>
    </row>
    <row r="59" spans="1:6" ht="15.75" thickBot="1" x14ac:dyDescent="0.3">
      <c r="A59" s="1">
        <v>43194</v>
      </c>
      <c r="B59">
        <v>106.14</v>
      </c>
      <c r="C59" t="s">
        <v>30</v>
      </c>
      <c r="E59" s="3" t="s">
        <v>3</v>
      </c>
      <c r="F59" s="3">
        <v>4</v>
      </c>
    </row>
    <row r="60" spans="1:6" x14ac:dyDescent="0.25">
      <c r="A60" s="1">
        <v>43195</v>
      </c>
      <c r="B60">
        <v>106.09</v>
      </c>
      <c r="C60" t="s">
        <v>30</v>
      </c>
    </row>
    <row r="61" spans="1:6" x14ac:dyDescent="0.25">
      <c r="A61" s="1">
        <v>43196</v>
      </c>
      <c r="B61">
        <v>107.08</v>
      </c>
      <c r="C61" t="s">
        <v>30</v>
      </c>
    </row>
    <row r="62" spans="1:6" x14ac:dyDescent="0.25">
      <c r="A62" s="1">
        <v>43197</v>
      </c>
      <c r="B62">
        <v>107.41</v>
      </c>
      <c r="C62" t="s">
        <v>30</v>
      </c>
    </row>
    <row r="63" spans="1:6" x14ac:dyDescent="0.25">
      <c r="A63" s="1">
        <v>43200</v>
      </c>
      <c r="B63">
        <v>107.15</v>
      </c>
      <c r="C63" t="s">
        <v>30</v>
      </c>
    </row>
    <row r="64" spans="1:6" x14ac:dyDescent="0.25">
      <c r="A64" s="1">
        <v>43201</v>
      </c>
      <c r="B64">
        <v>107.05</v>
      </c>
      <c r="C64" t="s">
        <v>30</v>
      </c>
    </row>
    <row r="65" spans="1:3" x14ac:dyDescent="0.25">
      <c r="A65" s="1">
        <v>43202</v>
      </c>
      <c r="B65">
        <v>106.91</v>
      </c>
      <c r="C65" t="s">
        <v>30</v>
      </c>
    </row>
    <row r="66" spans="1:3" x14ac:dyDescent="0.25">
      <c r="A66" s="1">
        <v>43203</v>
      </c>
      <c r="B66">
        <v>106.9</v>
      </c>
      <c r="C66" t="s">
        <v>30</v>
      </c>
    </row>
    <row r="67" spans="1:3" x14ac:dyDescent="0.25">
      <c r="A67" s="1">
        <v>43204</v>
      </c>
      <c r="B67">
        <v>107.62</v>
      </c>
      <c r="C67" t="s">
        <v>30</v>
      </c>
    </row>
    <row r="68" spans="1:3" x14ac:dyDescent="0.25">
      <c r="A68" s="1">
        <v>43207</v>
      </c>
      <c r="B68">
        <v>107.22</v>
      </c>
      <c r="C68" t="s">
        <v>30</v>
      </c>
    </row>
    <row r="69" spans="1:3" x14ac:dyDescent="0.25">
      <c r="A69" s="1">
        <v>43208</v>
      </c>
      <c r="B69">
        <v>106.99</v>
      </c>
      <c r="C69" t="s">
        <v>30</v>
      </c>
    </row>
    <row r="70" spans="1:3" x14ac:dyDescent="0.25">
      <c r="A70" s="1">
        <v>43209</v>
      </c>
      <c r="B70">
        <v>107.33</v>
      </c>
      <c r="C70" t="s">
        <v>30</v>
      </c>
    </row>
    <row r="71" spans="1:3" x14ac:dyDescent="0.25">
      <c r="A71" s="1">
        <v>43210</v>
      </c>
      <c r="B71">
        <v>107.35</v>
      </c>
      <c r="C71" t="s">
        <v>30</v>
      </c>
    </row>
    <row r="72" spans="1:3" x14ac:dyDescent="0.25">
      <c r="A72" s="1">
        <v>43211</v>
      </c>
      <c r="B72">
        <v>107.56</v>
      </c>
      <c r="C72" t="s">
        <v>30</v>
      </c>
    </row>
    <row r="73" spans="1:3" x14ac:dyDescent="0.25">
      <c r="A73" s="1">
        <v>43214</v>
      </c>
      <c r="B73">
        <v>107.87</v>
      </c>
      <c r="C73" t="s">
        <v>30</v>
      </c>
    </row>
    <row r="74" spans="1:3" x14ac:dyDescent="0.25">
      <c r="A74" s="1">
        <v>43215</v>
      </c>
      <c r="B74">
        <v>108.83</v>
      </c>
      <c r="C74" t="s">
        <v>30</v>
      </c>
    </row>
    <row r="75" spans="1:3" x14ac:dyDescent="0.25">
      <c r="A75" s="1">
        <v>43216</v>
      </c>
      <c r="B75">
        <v>109.22</v>
      </c>
      <c r="C75" t="s">
        <v>30</v>
      </c>
    </row>
    <row r="76" spans="1:3" x14ac:dyDescent="0.25">
      <c r="A76" s="1">
        <v>43217</v>
      </c>
      <c r="B76">
        <v>109.34</v>
      </c>
      <c r="C76" t="s">
        <v>30</v>
      </c>
    </row>
    <row r="77" spans="1:3" x14ac:dyDescent="0.25">
      <c r="A77" s="1">
        <v>43218</v>
      </c>
      <c r="B77">
        <v>109.33</v>
      </c>
      <c r="C77" t="s">
        <v>30</v>
      </c>
    </row>
    <row r="78" spans="1:3" x14ac:dyDescent="0.25">
      <c r="A78" s="1">
        <v>43219</v>
      </c>
      <c r="B78">
        <v>109.04</v>
      </c>
      <c r="C78" t="s">
        <v>30</v>
      </c>
    </row>
    <row r="79" spans="1:3" x14ac:dyDescent="0.25">
      <c r="A79" s="1">
        <v>43224</v>
      </c>
      <c r="B79">
        <v>109.66</v>
      </c>
      <c r="C79" t="s">
        <v>30</v>
      </c>
    </row>
    <row r="80" spans="1:3" x14ac:dyDescent="0.25">
      <c r="A80" s="1">
        <v>43225</v>
      </c>
      <c r="B80">
        <v>109.09</v>
      </c>
      <c r="C80" t="s">
        <v>30</v>
      </c>
    </row>
    <row r="81" spans="1:3" x14ac:dyDescent="0.25">
      <c r="A81" s="1">
        <v>43228</v>
      </c>
      <c r="B81">
        <v>109.24</v>
      </c>
      <c r="C81" t="s">
        <v>30</v>
      </c>
    </row>
    <row r="82" spans="1:3" x14ac:dyDescent="0.25">
      <c r="A82" s="1">
        <v>43229</v>
      </c>
      <c r="B82">
        <v>108.99</v>
      </c>
      <c r="C82" t="s">
        <v>30</v>
      </c>
    </row>
    <row r="83" spans="1:3" x14ac:dyDescent="0.25">
      <c r="A83" s="1">
        <v>43231</v>
      </c>
      <c r="B83">
        <v>109.86</v>
      </c>
      <c r="C83" t="s">
        <v>30</v>
      </c>
    </row>
    <row r="84" spans="1:3" x14ac:dyDescent="0.25">
      <c r="A84" s="1">
        <v>43232</v>
      </c>
      <c r="B84">
        <v>109.36</v>
      </c>
      <c r="C84" t="s">
        <v>30</v>
      </c>
    </row>
    <row r="85" spans="1:3" x14ac:dyDescent="0.25">
      <c r="A85" s="1">
        <v>43235</v>
      </c>
      <c r="B85">
        <v>109.55</v>
      </c>
      <c r="C85" t="s">
        <v>30</v>
      </c>
    </row>
    <row r="86" spans="1:3" x14ac:dyDescent="0.25">
      <c r="A86" s="1">
        <v>43236</v>
      </c>
      <c r="B86">
        <v>109.87</v>
      </c>
      <c r="C86" t="s">
        <v>30</v>
      </c>
    </row>
    <row r="87" spans="1:3" x14ac:dyDescent="0.25">
      <c r="A87" s="1">
        <v>43237</v>
      </c>
      <c r="B87">
        <v>110.18</v>
      </c>
      <c r="C87" t="s">
        <v>30</v>
      </c>
    </row>
    <row r="88" spans="1:3" x14ac:dyDescent="0.25">
      <c r="A88" s="1">
        <v>43238</v>
      </c>
      <c r="B88">
        <v>110.65</v>
      </c>
      <c r="C88" t="s">
        <v>30</v>
      </c>
    </row>
    <row r="89" spans="1:3" x14ac:dyDescent="0.25">
      <c r="A89" s="1">
        <v>43239</v>
      </c>
      <c r="B89">
        <v>110.95</v>
      </c>
      <c r="C89" t="s">
        <v>30</v>
      </c>
    </row>
    <row r="90" spans="1:3" x14ac:dyDescent="0.25">
      <c r="A90" s="1">
        <v>43242</v>
      </c>
      <c r="B90">
        <v>111.35</v>
      </c>
      <c r="C90" t="s">
        <v>30</v>
      </c>
    </row>
    <row r="91" spans="1:3" x14ac:dyDescent="0.25">
      <c r="A91" s="1">
        <v>43243</v>
      </c>
      <c r="B91">
        <v>110.99</v>
      </c>
      <c r="C91" t="s">
        <v>30</v>
      </c>
    </row>
    <row r="92" spans="1:3" x14ac:dyDescent="0.25">
      <c r="A92" s="1">
        <v>43244</v>
      </c>
      <c r="B92">
        <v>109.92</v>
      </c>
      <c r="C92" t="s">
        <v>30</v>
      </c>
    </row>
    <row r="93" spans="1:3" x14ac:dyDescent="0.25">
      <c r="A93" s="1">
        <v>43245</v>
      </c>
      <c r="B93">
        <v>109.68</v>
      </c>
      <c r="C93" t="s">
        <v>30</v>
      </c>
    </row>
    <row r="94" spans="1:3" x14ac:dyDescent="0.25">
      <c r="A94" s="1">
        <v>43246</v>
      </c>
      <c r="B94">
        <v>109.46</v>
      </c>
      <c r="C94" t="s">
        <v>30</v>
      </c>
    </row>
    <row r="95" spans="1:3" x14ac:dyDescent="0.25">
      <c r="A95" s="1">
        <v>43249</v>
      </c>
      <c r="B95">
        <v>109.43</v>
      </c>
      <c r="C95" t="s">
        <v>30</v>
      </c>
    </row>
    <row r="96" spans="1:3" x14ac:dyDescent="0.25">
      <c r="A96" s="1">
        <v>43250</v>
      </c>
      <c r="B96">
        <v>108.56</v>
      </c>
      <c r="C96" t="s">
        <v>30</v>
      </c>
    </row>
    <row r="97" spans="1:3" x14ac:dyDescent="0.25">
      <c r="A97" s="1">
        <v>43251</v>
      </c>
      <c r="B97">
        <v>108.66</v>
      </c>
      <c r="C97" t="s">
        <v>30</v>
      </c>
    </row>
    <row r="98" spans="1:3" x14ac:dyDescent="0.25">
      <c r="A98" s="1">
        <v>43252</v>
      </c>
      <c r="B98">
        <v>108.84</v>
      </c>
      <c r="C98" t="s">
        <v>30</v>
      </c>
    </row>
    <row r="99" spans="1:3" x14ac:dyDescent="0.25">
      <c r="A99" s="1">
        <v>43253</v>
      </c>
      <c r="B99">
        <v>109.13</v>
      </c>
      <c r="C99" t="s">
        <v>30</v>
      </c>
    </row>
    <row r="100" spans="1:3" x14ac:dyDescent="0.25">
      <c r="A100" s="1">
        <v>43256</v>
      </c>
      <c r="B100">
        <v>109.52</v>
      </c>
      <c r="C100" t="s">
        <v>30</v>
      </c>
    </row>
    <row r="101" spans="1:3" x14ac:dyDescent="0.25">
      <c r="A101" s="1">
        <v>43257</v>
      </c>
      <c r="B101">
        <v>109.82</v>
      </c>
      <c r="C101" t="s">
        <v>30</v>
      </c>
    </row>
    <row r="102" spans="1:3" x14ac:dyDescent="0.25">
      <c r="A102" s="1">
        <v>43258</v>
      </c>
      <c r="B102">
        <v>110.04</v>
      </c>
      <c r="C102" t="s">
        <v>30</v>
      </c>
    </row>
    <row r="103" spans="1:3" x14ac:dyDescent="0.25">
      <c r="A103" s="1">
        <v>43259</v>
      </c>
      <c r="B103">
        <v>109.94</v>
      </c>
      <c r="C103" t="s">
        <v>30</v>
      </c>
    </row>
    <row r="104" spans="1:3" x14ac:dyDescent="0.25">
      <c r="A104" s="1">
        <v>43260</v>
      </c>
      <c r="B104">
        <v>109.36</v>
      </c>
      <c r="C104" t="s">
        <v>30</v>
      </c>
    </row>
    <row r="105" spans="1:3" x14ac:dyDescent="0.25">
      <c r="A105" s="1">
        <v>43261</v>
      </c>
      <c r="B105">
        <v>109.55</v>
      </c>
      <c r="C105" t="s">
        <v>30</v>
      </c>
    </row>
    <row r="106" spans="1:3" x14ac:dyDescent="0.25">
      <c r="A106" s="1">
        <v>43265</v>
      </c>
      <c r="B106">
        <v>110.67</v>
      </c>
      <c r="C106" t="s">
        <v>30</v>
      </c>
    </row>
    <row r="107" spans="1:3" x14ac:dyDescent="0.25">
      <c r="A107" s="1">
        <v>43266</v>
      </c>
      <c r="B107">
        <v>110.01</v>
      </c>
      <c r="C107" t="s">
        <v>30</v>
      </c>
    </row>
    <row r="108" spans="1:3" x14ac:dyDescent="0.25">
      <c r="A108" s="1">
        <v>43267</v>
      </c>
      <c r="B108">
        <v>110.46</v>
      </c>
      <c r="C108" t="s">
        <v>30</v>
      </c>
    </row>
    <row r="109" spans="1:3" x14ac:dyDescent="0.25">
      <c r="A109" s="1">
        <v>43270</v>
      </c>
      <c r="B109">
        <v>110.49</v>
      </c>
      <c r="C109" t="s">
        <v>30</v>
      </c>
    </row>
    <row r="110" spans="1:3" x14ac:dyDescent="0.25">
      <c r="A110" s="1">
        <v>43271</v>
      </c>
      <c r="B110">
        <v>109.69</v>
      </c>
      <c r="C110" t="s">
        <v>30</v>
      </c>
    </row>
    <row r="111" spans="1:3" x14ac:dyDescent="0.25">
      <c r="A111" s="1">
        <v>43272</v>
      </c>
      <c r="B111">
        <v>110.14</v>
      </c>
      <c r="C111" t="s">
        <v>30</v>
      </c>
    </row>
    <row r="112" spans="1:3" x14ac:dyDescent="0.25">
      <c r="A112" s="1">
        <v>43273</v>
      </c>
      <c r="B112">
        <v>110.58</v>
      </c>
      <c r="C112" t="s">
        <v>30</v>
      </c>
    </row>
    <row r="113" spans="1:3" x14ac:dyDescent="0.25">
      <c r="A113" s="1">
        <v>43274</v>
      </c>
      <c r="B113">
        <v>110.19</v>
      </c>
      <c r="C113" t="s">
        <v>30</v>
      </c>
    </row>
    <row r="114" spans="1:3" x14ac:dyDescent="0.25">
      <c r="A114" s="1">
        <v>43277</v>
      </c>
      <c r="B114">
        <v>109.52</v>
      </c>
      <c r="C114" t="s">
        <v>30</v>
      </c>
    </row>
    <row r="115" spans="1:3" x14ac:dyDescent="0.25">
      <c r="A115" s="1">
        <v>43278</v>
      </c>
      <c r="B115">
        <v>109.68</v>
      </c>
      <c r="C115" t="s">
        <v>30</v>
      </c>
    </row>
    <row r="116" spans="1:3" x14ac:dyDescent="0.25">
      <c r="A116" s="1">
        <v>43279</v>
      </c>
      <c r="B116">
        <v>109.78</v>
      </c>
      <c r="C116" t="s">
        <v>30</v>
      </c>
    </row>
    <row r="117" spans="1:3" x14ac:dyDescent="0.25">
      <c r="A117" s="1">
        <v>43280</v>
      </c>
      <c r="B117">
        <v>110.39</v>
      </c>
      <c r="C117" t="s">
        <v>30</v>
      </c>
    </row>
    <row r="118" spans="1:3" x14ac:dyDescent="0.25">
      <c r="A118" s="1">
        <v>43281</v>
      </c>
      <c r="B118">
        <v>110.68</v>
      </c>
      <c r="C118" t="s">
        <v>30</v>
      </c>
    </row>
    <row r="119" spans="1:3" x14ac:dyDescent="0.25">
      <c r="A119" s="1">
        <v>43284</v>
      </c>
      <c r="B119">
        <v>110.73</v>
      </c>
      <c r="C119" t="s">
        <v>30</v>
      </c>
    </row>
    <row r="120" spans="1:3" x14ac:dyDescent="0.25">
      <c r="A120" s="1">
        <v>43285</v>
      </c>
      <c r="B120">
        <v>110.93</v>
      </c>
      <c r="C120" t="s">
        <v>30</v>
      </c>
    </row>
    <row r="121" spans="1:3" x14ac:dyDescent="0.25">
      <c r="A121" s="1">
        <v>43286</v>
      </c>
      <c r="B121">
        <v>110.51</v>
      </c>
      <c r="C121" t="s">
        <v>30</v>
      </c>
    </row>
    <row r="122" spans="1:3" x14ac:dyDescent="0.25">
      <c r="A122" s="1">
        <v>43287</v>
      </c>
      <c r="B122">
        <v>110.65</v>
      </c>
      <c r="C122" t="s">
        <v>30</v>
      </c>
    </row>
    <row r="123" spans="1:3" x14ac:dyDescent="0.25">
      <c r="A123" s="1">
        <v>43288</v>
      </c>
      <c r="B123">
        <v>110.6</v>
      </c>
      <c r="C123" t="s">
        <v>30</v>
      </c>
    </row>
    <row r="124" spans="1:3" x14ac:dyDescent="0.25">
      <c r="A124" s="1">
        <v>43291</v>
      </c>
      <c r="B124">
        <v>110.44</v>
      </c>
      <c r="C124" t="s">
        <v>30</v>
      </c>
    </row>
    <row r="125" spans="1:3" x14ac:dyDescent="0.25">
      <c r="A125" s="1">
        <v>43292</v>
      </c>
      <c r="B125">
        <v>111.1</v>
      </c>
      <c r="C125" t="s">
        <v>30</v>
      </c>
    </row>
    <row r="126" spans="1:3" x14ac:dyDescent="0.25">
      <c r="A126" s="1">
        <v>43293</v>
      </c>
      <c r="B126">
        <v>111.04</v>
      </c>
      <c r="C126" t="s">
        <v>30</v>
      </c>
    </row>
    <row r="127" spans="1:3" x14ac:dyDescent="0.25">
      <c r="A127" s="1">
        <v>43294</v>
      </c>
      <c r="B127">
        <v>112.31</v>
      </c>
      <c r="C127" t="s">
        <v>30</v>
      </c>
    </row>
    <row r="128" spans="1:3" x14ac:dyDescent="0.25">
      <c r="A128" s="1">
        <v>43295</v>
      </c>
      <c r="B128">
        <v>112.75</v>
      </c>
      <c r="C128" t="s">
        <v>30</v>
      </c>
    </row>
    <row r="129" spans="1:3" x14ac:dyDescent="0.25">
      <c r="A129" s="1">
        <v>43298</v>
      </c>
      <c r="B129">
        <v>112.45</v>
      </c>
      <c r="C129" t="s">
        <v>30</v>
      </c>
    </row>
    <row r="130" spans="1:3" x14ac:dyDescent="0.25">
      <c r="A130" s="1">
        <v>43299</v>
      </c>
      <c r="B130">
        <v>112.37</v>
      </c>
      <c r="C130" t="s">
        <v>30</v>
      </c>
    </row>
    <row r="131" spans="1:3" x14ac:dyDescent="0.25">
      <c r="A131" s="1">
        <v>43300</v>
      </c>
      <c r="B131">
        <v>113.01</v>
      </c>
      <c r="C131" t="s">
        <v>30</v>
      </c>
    </row>
    <row r="132" spans="1:3" x14ac:dyDescent="0.25">
      <c r="A132" s="1">
        <v>43301</v>
      </c>
      <c r="B132">
        <v>113.03</v>
      </c>
      <c r="C132" t="s">
        <v>30</v>
      </c>
    </row>
    <row r="133" spans="1:3" x14ac:dyDescent="0.25">
      <c r="A133" s="1">
        <v>43302</v>
      </c>
      <c r="B133">
        <v>112.48</v>
      </c>
      <c r="C133" t="s">
        <v>30</v>
      </c>
    </row>
    <row r="134" spans="1:3" x14ac:dyDescent="0.25">
      <c r="A134" s="1">
        <v>43305</v>
      </c>
      <c r="B134">
        <v>110.98</v>
      </c>
      <c r="C134" t="s">
        <v>30</v>
      </c>
    </row>
    <row r="135" spans="1:3" x14ac:dyDescent="0.25">
      <c r="A135" s="1">
        <v>43306</v>
      </c>
      <c r="B135">
        <v>111.23</v>
      </c>
      <c r="C135" t="s">
        <v>30</v>
      </c>
    </row>
    <row r="136" spans="1:3" x14ac:dyDescent="0.25">
      <c r="A136" s="1">
        <v>43307</v>
      </c>
      <c r="B136">
        <v>111.22</v>
      </c>
      <c r="C136" t="s">
        <v>30</v>
      </c>
    </row>
    <row r="137" spans="1:3" x14ac:dyDescent="0.25">
      <c r="A137" s="1">
        <v>43308</v>
      </c>
      <c r="B137">
        <v>110.71</v>
      </c>
      <c r="C137" t="s">
        <v>30</v>
      </c>
    </row>
    <row r="138" spans="1:3" x14ac:dyDescent="0.25">
      <c r="A138" s="1">
        <v>43309</v>
      </c>
      <c r="B138">
        <v>111.13</v>
      </c>
      <c r="C138" t="s">
        <v>30</v>
      </c>
    </row>
    <row r="139" spans="1:3" x14ac:dyDescent="0.25">
      <c r="A139" s="1">
        <v>43312</v>
      </c>
      <c r="B139">
        <v>111.1</v>
      </c>
      <c r="C139" t="s">
        <v>30</v>
      </c>
    </row>
    <row r="140" spans="1:3" x14ac:dyDescent="0.25">
      <c r="A140" s="1">
        <v>43313</v>
      </c>
      <c r="B140">
        <v>111.37</v>
      </c>
      <c r="C140" t="s">
        <v>30</v>
      </c>
    </row>
    <row r="141" spans="1:3" x14ac:dyDescent="0.25">
      <c r="A141" s="1">
        <v>43314</v>
      </c>
      <c r="B141">
        <v>112.01</v>
      </c>
      <c r="C141" t="s">
        <v>30</v>
      </c>
    </row>
    <row r="142" spans="1:3" x14ac:dyDescent="0.25">
      <c r="A142" s="1">
        <v>43315</v>
      </c>
      <c r="B142">
        <v>111.63</v>
      </c>
      <c r="C142" t="s">
        <v>30</v>
      </c>
    </row>
    <row r="143" spans="1:3" x14ac:dyDescent="0.25">
      <c r="A143" s="1">
        <v>43316</v>
      </c>
      <c r="B143">
        <v>111.71</v>
      </c>
      <c r="C143" t="s">
        <v>30</v>
      </c>
    </row>
    <row r="144" spans="1:3" x14ac:dyDescent="0.25">
      <c r="A144" s="1">
        <v>43319</v>
      </c>
      <c r="B144">
        <v>111.27</v>
      </c>
      <c r="C144" t="s">
        <v>30</v>
      </c>
    </row>
    <row r="145" spans="1:3" x14ac:dyDescent="0.25">
      <c r="A145" s="1">
        <v>43320</v>
      </c>
      <c r="B145">
        <v>111.33</v>
      </c>
      <c r="C145" t="s">
        <v>30</v>
      </c>
    </row>
    <row r="146" spans="1:3" x14ac:dyDescent="0.25">
      <c r="A146" s="1">
        <v>43321</v>
      </c>
      <c r="B146">
        <v>110.96</v>
      </c>
      <c r="C146" t="s">
        <v>30</v>
      </c>
    </row>
    <row r="147" spans="1:3" x14ac:dyDescent="0.25">
      <c r="A147" s="1">
        <v>43322</v>
      </c>
      <c r="B147">
        <v>111.08</v>
      </c>
      <c r="C147" t="s">
        <v>30</v>
      </c>
    </row>
    <row r="148" spans="1:3" x14ac:dyDescent="0.25">
      <c r="A148" s="1">
        <v>43323</v>
      </c>
      <c r="B148">
        <v>110.85</v>
      </c>
      <c r="C148" t="s">
        <v>30</v>
      </c>
    </row>
    <row r="149" spans="1:3" x14ac:dyDescent="0.25">
      <c r="A149" s="1">
        <v>43326</v>
      </c>
      <c r="B149">
        <v>110.29</v>
      </c>
      <c r="C149" t="s">
        <v>30</v>
      </c>
    </row>
    <row r="150" spans="1:3" x14ac:dyDescent="0.25">
      <c r="A150" s="1">
        <v>43327</v>
      </c>
      <c r="B150">
        <v>111.08</v>
      </c>
      <c r="C150" t="s">
        <v>30</v>
      </c>
    </row>
    <row r="151" spans="1:3" x14ac:dyDescent="0.25">
      <c r="A151" s="1">
        <v>43328</v>
      </c>
      <c r="B151">
        <v>111.29</v>
      </c>
      <c r="C151" t="s">
        <v>30</v>
      </c>
    </row>
    <row r="152" spans="1:3" x14ac:dyDescent="0.25">
      <c r="A152" s="1">
        <v>43329</v>
      </c>
      <c r="B152">
        <v>110.78</v>
      </c>
      <c r="C152" t="s">
        <v>30</v>
      </c>
    </row>
    <row r="153" spans="1:3" x14ac:dyDescent="0.25">
      <c r="A153" s="1">
        <v>43330</v>
      </c>
      <c r="B153">
        <v>110.71</v>
      </c>
      <c r="C153" t="s">
        <v>30</v>
      </c>
    </row>
    <row r="154" spans="1:3" x14ac:dyDescent="0.25">
      <c r="A154" s="1">
        <v>43333</v>
      </c>
      <c r="B154">
        <v>110.65</v>
      </c>
      <c r="C154" t="s">
        <v>30</v>
      </c>
    </row>
    <row r="155" spans="1:3" x14ac:dyDescent="0.25">
      <c r="A155" s="1">
        <v>43334</v>
      </c>
      <c r="B155">
        <v>110.19</v>
      </c>
      <c r="C155" t="s">
        <v>30</v>
      </c>
    </row>
    <row r="156" spans="1:3" x14ac:dyDescent="0.25">
      <c r="A156" s="1">
        <v>43335</v>
      </c>
      <c r="B156">
        <v>110.41</v>
      </c>
      <c r="C156" t="s">
        <v>30</v>
      </c>
    </row>
    <row r="157" spans="1:3" x14ac:dyDescent="0.25">
      <c r="A157" s="1">
        <v>43336</v>
      </c>
      <c r="B157">
        <v>110.79</v>
      </c>
      <c r="C157" t="s">
        <v>30</v>
      </c>
    </row>
    <row r="158" spans="1:3" x14ac:dyDescent="0.25">
      <c r="A158" s="1">
        <v>43337</v>
      </c>
      <c r="B158">
        <v>111.36</v>
      </c>
      <c r="C158" t="s">
        <v>30</v>
      </c>
    </row>
    <row r="159" spans="1:3" x14ac:dyDescent="0.25">
      <c r="A159" s="1">
        <v>43340</v>
      </c>
      <c r="B159">
        <v>111.16</v>
      </c>
      <c r="C159" t="s">
        <v>30</v>
      </c>
    </row>
    <row r="160" spans="1:3" x14ac:dyDescent="0.25">
      <c r="A160" s="1">
        <v>43341</v>
      </c>
      <c r="B160">
        <v>111.09</v>
      </c>
      <c r="C160" t="s">
        <v>30</v>
      </c>
    </row>
    <row r="161" spans="1:3" x14ac:dyDescent="0.25">
      <c r="A161" s="1">
        <v>43342</v>
      </c>
      <c r="B161">
        <v>111.19</v>
      </c>
      <c r="C161" t="s">
        <v>30</v>
      </c>
    </row>
    <row r="162" spans="1:3" x14ac:dyDescent="0.25">
      <c r="A162" s="1">
        <v>43343</v>
      </c>
      <c r="B162">
        <v>111.61</v>
      </c>
      <c r="C162" t="s">
        <v>30</v>
      </c>
    </row>
    <row r="163" spans="1:3" x14ac:dyDescent="0.25">
      <c r="A163" s="1">
        <v>43344</v>
      </c>
      <c r="B163">
        <v>110.7</v>
      </c>
      <c r="C163" t="s">
        <v>30</v>
      </c>
    </row>
    <row r="164" spans="1:3" x14ac:dyDescent="0.25">
      <c r="A164" s="1">
        <v>43347</v>
      </c>
      <c r="B164">
        <v>111.02</v>
      </c>
      <c r="C164" t="s">
        <v>30</v>
      </c>
    </row>
    <row r="165" spans="1:3" x14ac:dyDescent="0.25">
      <c r="A165" s="1">
        <v>43348</v>
      </c>
      <c r="B165">
        <v>111.51</v>
      </c>
      <c r="C165" t="s">
        <v>30</v>
      </c>
    </row>
    <row r="166" spans="1:3" x14ac:dyDescent="0.25">
      <c r="A166" s="1">
        <v>43349</v>
      </c>
      <c r="B166">
        <v>111.48</v>
      </c>
      <c r="C166" t="s">
        <v>30</v>
      </c>
    </row>
    <row r="167" spans="1:3" x14ac:dyDescent="0.25">
      <c r="A167" s="1">
        <v>43350</v>
      </c>
      <c r="B167">
        <v>111.31</v>
      </c>
      <c r="C167" t="s">
        <v>30</v>
      </c>
    </row>
    <row r="168" spans="1:3" x14ac:dyDescent="0.25">
      <c r="A168" s="1">
        <v>43351</v>
      </c>
      <c r="B168">
        <v>110.71</v>
      </c>
      <c r="C168" t="s">
        <v>30</v>
      </c>
    </row>
    <row r="169" spans="1:3" x14ac:dyDescent="0.25">
      <c r="A169" s="1">
        <v>43354</v>
      </c>
      <c r="B169">
        <v>111.03</v>
      </c>
      <c r="C169" t="s">
        <v>30</v>
      </c>
    </row>
    <row r="170" spans="1:3" x14ac:dyDescent="0.25">
      <c r="A170" s="1">
        <v>43355</v>
      </c>
      <c r="B170">
        <v>111.48</v>
      </c>
      <c r="C170" t="s">
        <v>30</v>
      </c>
    </row>
    <row r="171" spans="1:3" x14ac:dyDescent="0.25">
      <c r="A171" s="1">
        <v>43356</v>
      </c>
      <c r="B171">
        <v>111.46</v>
      </c>
      <c r="C171" t="s">
        <v>30</v>
      </c>
    </row>
    <row r="172" spans="1:3" x14ac:dyDescent="0.25">
      <c r="A172" s="1">
        <v>43357</v>
      </c>
      <c r="B172">
        <v>111.46</v>
      </c>
      <c r="C172" t="s">
        <v>30</v>
      </c>
    </row>
    <row r="173" spans="1:3" x14ac:dyDescent="0.25">
      <c r="A173" s="1">
        <v>43358</v>
      </c>
      <c r="B173">
        <v>111.81</v>
      </c>
      <c r="C173" t="s">
        <v>30</v>
      </c>
    </row>
    <row r="174" spans="1:3" x14ac:dyDescent="0.25">
      <c r="A174" s="1">
        <v>43361</v>
      </c>
      <c r="B174">
        <v>111.93</v>
      </c>
      <c r="C174" t="s">
        <v>30</v>
      </c>
    </row>
    <row r="175" spans="1:3" x14ac:dyDescent="0.25">
      <c r="A175" s="1">
        <v>43362</v>
      </c>
      <c r="B175">
        <v>111.94</v>
      </c>
      <c r="C175" t="s">
        <v>30</v>
      </c>
    </row>
    <row r="176" spans="1:3" x14ac:dyDescent="0.25">
      <c r="A176" s="1">
        <v>43363</v>
      </c>
      <c r="B176">
        <v>112.38</v>
      </c>
      <c r="C176" t="s">
        <v>30</v>
      </c>
    </row>
    <row r="177" spans="1:3" x14ac:dyDescent="0.25">
      <c r="A177" s="1">
        <v>43364</v>
      </c>
      <c r="B177">
        <v>112.26</v>
      </c>
      <c r="C177" t="s">
        <v>30</v>
      </c>
    </row>
    <row r="178" spans="1:3" x14ac:dyDescent="0.25">
      <c r="A178" s="1">
        <v>43365</v>
      </c>
      <c r="B178">
        <v>112.73</v>
      </c>
      <c r="C178" t="s">
        <v>30</v>
      </c>
    </row>
    <row r="179" spans="1:3" x14ac:dyDescent="0.25">
      <c r="A179" s="1">
        <v>43368</v>
      </c>
      <c r="B179">
        <v>112.61</v>
      </c>
      <c r="C179" t="s">
        <v>30</v>
      </c>
    </row>
    <row r="180" spans="1:3" x14ac:dyDescent="0.25">
      <c r="A180" s="1">
        <v>43369</v>
      </c>
      <c r="B180">
        <v>112.9</v>
      </c>
      <c r="C180" t="s">
        <v>30</v>
      </c>
    </row>
    <row r="181" spans="1:3" x14ac:dyDescent="0.25">
      <c r="A181" s="1">
        <v>43370</v>
      </c>
      <c r="B181">
        <v>112.83</v>
      </c>
      <c r="C181" t="s">
        <v>30</v>
      </c>
    </row>
    <row r="182" spans="1:3" x14ac:dyDescent="0.25">
      <c r="A182" s="1">
        <v>43371</v>
      </c>
      <c r="B182">
        <v>112.71</v>
      </c>
      <c r="C182" t="s">
        <v>30</v>
      </c>
    </row>
    <row r="183" spans="1:3" x14ac:dyDescent="0.25">
      <c r="A183" s="1">
        <v>43372</v>
      </c>
      <c r="B183">
        <v>113.42</v>
      </c>
      <c r="C183" t="s">
        <v>30</v>
      </c>
    </row>
    <row r="184" spans="1:3" x14ac:dyDescent="0.25">
      <c r="A184" s="1">
        <v>43375</v>
      </c>
      <c r="B184">
        <v>114.01</v>
      </c>
      <c r="C184" t="s">
        <v>30</v>
      </c>
    </row>
    <row r="185" spans="1:3" x14ac:dyDescent="0.25">
      <c r="A185" s="1">
        <v>43376</v>
      </c>
      <c r="B185">
        <v>113.73</v>
      </c>
      <c r="C185" t="s">
        <v>30</v>
      </c>
    </row>
    <row r="186" spans="1:3" x14ac:dyDescent="0.25">
      <c r="A186" s="1">
        <v>43377</v>
      </c>
      <c r="B186">
        <v>113.84</v>
      </c>
      <c r="C186" t="s">
        <v>30</v>
      </c>
    </row>
    <row r="187" spans="1:3" x14ac:dyDescent="0.25">
      <c r="A187" s="1">
        <v>43378</v>
      </c>
      <c r="B187">
        <v>114.35</v>
      </c>
      <c r="C187" t="s">
        <v>30</v>
      </c>
    </row>
    <row r="188" spans="1:3" x14ac:dyDescent="0.25">
      <c r="A188" s="1">
        <v>43379</v>
      </c>
      <c r="B188">
        <v>113.82</v>
      </c>
      <c r="C188" t="s">
        <v>30</v>
      </c>
    </row>
    <row r="189" spans="1:3" x14ac:dyDescent="0.25">
      <c r="A189" s="1">
        <v>43382</v>
      </c>
      <c r="B189">
        <v>113.61</v>
      </c>
      <c r="C189" t="s">
        <v>30</v>
      </c>
    </row>
    <row r="190" spans="1:3" x14ac:dyDescent="0.25">
      <c r="A190" s="1">
        <v>43383</v>
      </c>
      <c r="B190">
        <v>113.17</v>
      </c>
      <c r="C190" t="s">
        <v>30</v>
      </c>
    </row>
    <row r="191" spans="1:3" x14ac:dyDescent="0.25">
      <c r="A191" s="1">
        <v>43384</v>
      </c>
      <c r="B191">
        <v>113.15</v>
      </c>
      <c r="C191" t="s">
        <v>30</v>
      </c>
    </row>
    <row r="192" spans="1:3" x14ac:dyDescent="0.25">
      <c r="A192" s="1">
        <v>43385</v>
      </c>
      <c r="B192">
        <v>112.34</v>
      </c>
      <c r="C192" t="s">
        <v>30</v>
      </c>
    </row>
    <row r="193" spans="1:3" x14ac:dyDescent="0.25">
      <c r="A193" s="1">
        <v>43386</v>
      </c>
      <c r="B193">
        <v>112.33</v>
      </c>
      <c r="C193" t="s">
        <v>30</v>
      </c>
    </row>
    <row r="194" spans="1:3" x14ac:dyDescent="0.25">
      <c r="A194" s="1">
        <v>43389</v>
      </c>
      <c r="B194">
        <v>111.75</v>
      </c>
      <c r="C194" t="s">
        <v>30</v>
      </c>
    </row>
    <row r="195" spans="1:3" x14ac:dyDescent="0.25">
      <c r="A195" s="1">
        <v>43390</v>
      </c>
      <c r="B195">
        <v>112.16</v>
      </c>
      <c r="C195" t="s">
        <v>30</v>
      </c>
    </row>
    <row r="196" spans="1:3" x14ac:dyDescent="0.25">
      <c r="A196" s="1">
        <v>43391</v>
      </c>
      <c r="B196">
        <v>112.25</v>
      </c>
      <c r="C196" t="s">
        <v>30</v>
      </c>
    </row>
    <row r="197" spans="1:3" x14ac:dyDescent="0.25">
      <c r="A197" s="1">
        <v>43392</v>
      </c>
      <c r="B197">
        <v>112.58</v>
      </c>
      <c r="C197" t="s">
        <v>30</v>
      </c>
    </row>
    <row r="198" spans="1:3" x14ac:dyDescent="0.25">
      <c r="A198" s="1">
        <v>43393</v>
      </c>
      <c r="B198">
        <v>112.41</v>
      </c>
      <c r="C198" t="s">
        <v>30</v>
      </c>
    </row>
    <row r="199" spans="1:3" x14ac:dyDescent="0.25">
      <c r="A199" s="1">
        <v>43396</v>
      </c>
      <c r="B199">
        <v>112.74</v>
      </c>
      <c r="C199" t="s">
        <v>30</v>
      </c>
    </row>
    <row r="200" spans="1:3" x14ac:dyDescent="0.25">
      <c r="A200" s="1">
        <v>43397</v>
      </c>
      <c r="B200">
        <v>112.3</v>
      </c>
      <c r="C200" t="s">
        <v>30</v>
      </c>
    </row>
    <row r="201" spans="1:3" x14ac:dyDescent="0.25">
      <c r="A201" s="1">
        <v>43398</v>
      </c>
      <c r="B201">
        <v>112.48</v>
      </c>
      <c r="C201" t="s">
        <v>30</v>
      </c>
    </row>
    <row r="202" spans="1:3" x14ac:dyDescent="0.25">
      <c r="A202" s="1">
        <v>43399</v>
      </c>
      <c r="B202">
        <v>112.31</v>
      </c>
      <c r="C202" t="s">
        <v>30</v>
      </c>
    </row>
    <row r="203" spans="1:3" x14ac:dyDescent="0.25">
      <c r="A203" s="1">
        <v>43400</v>
      </c>
      <c r="B203">
        <v>112.04</v>
      </c>
      <c r="C203" t="s">
        <v>30</v>
      </c>
    </row>
    <row r="204" spans="1:3" x14ac:dyDescent="0.25">
      <c r="A204" s="1">
        <v>43403</v>
      </c>
      <c r="B204">
        <v>111.94</v>
      </c>
      <c r="C204" t="s">
        <v>30</v>
      </c>
    </row>
    <row r="205" spans="1:3" x14ac:dyDescent="0.25">
      <c r="A205" s="1">
        <v>43404</v>
      </c>
      <c r="B205">
        <v>112.86</v>
      </c>
      <c r="C205" t="s">
        <v>30</v>
      </c>
    </row>
    <row r="206" spans="1:3" x14ac:dyDescent="0.25">
      <c r="A206" s="1">
        <v>43405</v>
      </c>
      <c r="B206">
        <v>113.11</v>
      </c>
      <c r="C206" t="s">
        <v>30</v>
      </c>
    </row>
    <row r="207" spans="1:3" x14ac:dyDescent="0.25">
      <c r="A207" s="1">
        <v>43406</v>
      </c>
      <c r="B207">
        <v>112.89</v>
      </c>
      <c r="C207" t="s">
        <v>30</v>
      </c>
    </row>
    <row r="208" spans="1:3" x14ac:dyDescent="0.25">
      <c r="A208" s="1">
        <v>43407</v>
      </c>
      <c r="B208">
        <v>112.92</v>
      </c>
      <c r="C208" t="s">
        <v>30</v>
      </c>
    </row>
    <row r="209" spans="1:3" x14ac:dyDescent="0.25">
      <c r="A209" s="1">
        <v>43411</v>
      </c>
      <c r="B209">
        <v>113.3</v>
      </c>
      <c r="C209" t="s">
        <v>30</v>
      </c>
    </row>
    <row r="210" spans="1:3" x14ac:dyDescent="0.25">
      <c r="A210" s="1">
        <v>43412</v>
      </c>
      <c r="B210">
        <v>113.19</v>
      </c>
      <c r="C210" t="s">
        <v>30</v>
      </c>
    </row>
    <row r="211" spans="1:3" x14ac:dyDescent="0.25">
      <c r="A211" s="1">
        <v>43413</v>
      </c>
      <c r="B211">
        <v>113.72</v>
      </c>
      <c r="C211" t="s">
        <v>30</v>
      </c>
    </row>
    <row r="212" spans="1:3" x14ac:dyDescent="0.25">
      <c r="A212" s="1">
        <v>43414</v>
      </c>
      <c r="B212">
        <v>113.81</v>
      </c>
      <c r="C212" t="s">
        <v>30</v>
      </c>
    </row>
    <row r="213" spans="1:3" x14ac:dyDescent="0.25">
      <c r="A213" s="1">
        <v>43417</v>
      </c>
      <c r="B213">
        <v>114.13</v>
      </c>
      <c r="C213" t="s">
        <v>30</v>
      </c>
    </row>
    <row r="214" spans="1:3" x14ac:dyDescent="0.25">
      <c r="A214" s="1">
        <v>43418</v>
      </c>
      <c r="B214">
        <v>114.11</v>
      </c>
      <c r="C214" t="s">
        <v>30</v>
      </c>
    </row>
    <row r="215" spans="1:3" x14ac:dyDescent="0.25">
      <c r="A215" s="1">
        <v>43419</v>
      </c>
      <c r="B215">
        <v>113.88</v>
      </c>
      <c r="C215" t="s">
        <v>30</v>
      </c>
    </row>
    <row r="216" spans="1:3" x14ac:dyDescent="0.25">
      <c r="A216" s="1">
        <v>43420</v>
      </c>
      <c r="B216">
        <v>113.46</v>
      </c>
      <c r="C216" t="s">
        <v>30</v>
      </c>
    </row>
    <row r="217" spans="1:3" x14ac:dyDescent="0.25">
      <c r="A217" s="1">
        <v>43421</v>
      </c>
      <c r="B217">
        <v>113.25</v>
      </c>
      <c r="C217" t="s">
        <v>30</v>
      </c>
    </row>
    <row r="218" spans="1:3" x14ac:dyDescent="0.25">
      <c r="A218" s="1">
        <v>43424</v>
      </c>
      <c r="B218">
        <v>112.82</v>
      </c>
      <c r="C218" t="s">
        <v>30</v>
      </c>
    </row>
    <row r="219" spans="1:3" x14ac:dyDescent="0.25">
      <c r="A219" s="1">
        <v>43425</v>
      </c>
      <c r="B219">
        <v>112.44</v>
      </c>
      <c r="C219" t="s">
        <v>30</v>
      </c>
    </row>
    <row r="220" spans="1:3" x14ac:dyDescent="0.25">
      <c r="A220" s="1">
        <v>43426</v>
      </c>
      <c r="B220">
        <v>112.87</v>
      </c>
      <c r="C220" t="s">
        <v>30</v>
      </c>
    </row>
    <row r="221" spans="1:3" x14ac:dyDescent="0.25">
      <c r="A221" s="1">
        <v>43427</v>
      </c>
      <c r="B221">
        <v>112.97</v>
      </c>
      <c r="C221" t="s">
        <v>30</v>
      </c>
    </row>
    <row r="222" spans="1:3" x14ac:dyDescent="0.25">
      <c r="A222" s="1">
        <v>43428</v>
      </c>
      <c r="B222">
        <v>112.86</v>
      </c>
      <c r="C222" t="s">
        <v>30</v>
      </c>
    </row>
    <row r="223" spans="1:3" x14ac:dyDescent="0.25">
      <c r="A223" s="1">
        <v>43431</v>
      </c>
      <c r="B223">
        <v>113.32</v>
      </c>
      <c r="C223" t="s">
        <v>30</v>
      </c>
    </row>
    <row r="224" spans="1:3" x14ac:dyDescent="0.25">
      <c r="A224" s="1">
        <v>43432</v>
      </c>
      <c r="B224">
        <v>113.57</v>
      </c>
      <c r="C224" t="s">
        <v>30</v>
      </c>
    </row>
    <row r="225" spans="1:3" x14ac:dyDescent="0.25">
      <c r="A225" s="1">
        <v>43433</v>
      </c>
      <c r="B225">
        <v>113.86</v>
      </c>
      <c r="C225" t="s">
        <v>30</v>
      </c>
    </row>
    <row r="226" spans="1:3" x14ac:dyDescent="0.25">
      <c r="A226" s="1">
        <v>43434</v>
      </c>
      <c r="B226">
        <v>113.27</v>
      </c>
      <c r="C226" t="s">
        <v>30</v>
      </c>
    </row>
    <row r="227" spans="1:3" x14ac:dyDescent="0.25">
      <c r="A227" s="1">
        <v>43435</v>
      </c>
      <c r="B227">
        <v>113.44</v>
      </c>
      <c r="C227" t="s">
        <v>30</v>
      </c>
    </row>
    <row r="228" spans="1:3" x14ac:dyDescent="0.25">
      <c r="A228" s="1">
        <v>43438</v>
      </c>
      <c r="B228">
        <v>113.5</v>
      </c>
      <c r="C228" t="s">
        <v>30</v>
      </c>
    </row>
    <row r="229" spans="1:3" x14ac:dyDescent="0.25">
      <c r="A229" s="1">
        <v>43439</v>
      </c>
      <c r="B229">
        <v>113.06</v>
      </c>
      <c r="C229" t="s">
        <v>30</v>
      </c>
    </row>
    <row r="230" spans="1:3" x14ac:dyDescent="0.25">
      <c r="A230" s="1">
        <v>43440</v>
      </c>
      <c r="B230">
        <v>113.04</v>
      </c>
      <c r="C230" t="s">
        <v>30</v>
      </c>
    </row>
    <row r="231" spans="1:3" x14ac:dyDescent="0.25">
      <c r="A231" s="1">
        <v>43441</v>
      </c>
      <c r="B231">
        <v>113.03</v>
      </c>
      <c r="C231" t="s">
        <v>30</v>
      </c>
    </row>
    <row r="232" spans="1:3" x14ac:dyDescent="0.25">
      <c r="A232" s="1">
        <v>43442</v>
      </c>
      <c r="B232">
        <v>112.81</v>
      </c>
      <c r="C232" t="s">
        <v>30</v>
      </c>
    </row>
    <row r="233" spans="1:3" x14ac:dyDescent="0.25">
      <c r="A233" s="1">
        <v>43445</v>
      </c>
      <c r="B233">
        <v>112.62</v>
      </c>
      <c r="C233" t="s">
        <v>30</v>
      </c>
    </row>
    <row r="234" spans="1:3" x14ac:dyDescent="0.25">
      <c r="A234" s="1">
        <v>43446</v>
      </c>
      <c r="B234">
        <v>113.06</v>
      </c>
      <c r="C234" t="s">
        <v>30</v>
      </c>
    </row>
    <row r="235" spans="1:3" x14ac:dyDescent="0.25">
      <c r="A235" s="1">
        <v>43447</v>
      </c>
      <c r="B235">
        <v>113.46</v>
      </c>
      <c r="C235" t="s">
        <v>30</v>
      </c>
    </row>
    <row r="236" spans="1:3" x14ac:dyDescent="0.25">
      <c r="A236" s="1">
        <v>43448</v>
      </c>
      <c r="B236">
        <v>113.49</v>
      </c>
      <c r="C236" t="s">
        <v>30</v>
      </c>
    </row>
    <row r="237" spans="1:3" x14ac:dyDescent="0.25">
      <c r="A237" s="1">
        <v>43449</v>
      </c>
      <c r="B237">
        <v>113.58</v>
      </c>
      <c r="C237" t="s">
        <v>30</v>
      </c>
    </row>
    <row r="238" spans="1:3" x14ac:dyDescent="0.25">
      <c r="A238" s="1">
        <v>43452</v>
      </c>
      <c r="B238">
        <v>113.39</v>
      </c>
      <c r="C238" t="s">
        <v>30</v>
      </c>
    </row>
    <row r="239" spans="1:3" x14ac:dyDescent="0.25">
      <c r="A239" s="1">
        <v>43453</v>
      </c>
      <c r="B239">
        <v>112.48</v>
      </c>
      <c r="C239" t="s">
        <v>30</v>
      </c>
    </row>
    <row r="240" spans="1:3" x14ac:dyDescent="0.25">
      <c r="A240" s="1">
        <v>43454</v>
      </c>
      <c r="B240">
        <v>112.36</v>
      </c>
      <c r="C240" t="s">
        <v>30</v>
      </c>
    </row>
    <row r="241" spans="1:3" x14ac:dyDescent="0.25">
      <c r="A241" s="1">
        <v>43455</v>
      </c>
      <c r="B241">
        <v>111.85</v>
      </c>
      <c r="C241" t="s">
        <v>30</v>
      </c>
    </row>
    <row r="242" spans="1:3" x14ac:dyDescent="0.25">
      <c r="A242" s="1">
        <v>43456</v>
      </c>
      <c r="B242">
        <v>111.09</v>
      </c>
      <c r="C242" t="s">
        <v>30</v>
      </c>
    </row>
    <row r="243" spans="1:3" x14ac:dyDescent="0.25">
      <c r="A243" s="1">
        <v>43459</v>
      </c>
      <c r="B243">
        <v>110.94</v>
      </c>
      <c r="C243" t="s">
        <v>30</v>
      </c>
    </row>
    <row r="244" spans="1:3" x14ac:dyDescent="0.25">
      <c r="A244" s="1">
        <v>43460</v>
      </c>
      <c r="B244">
        <v>110.28</v>
      </c>
      <c r="C244" t="s">
        <v>30</v>
      </c>
    </row>
    <row r="245" spans="1:3" x14ac:dyDescent="0.25">
      <c r="A245" s="1">
        <v>43461</v>
      </c>
      <c r="B245">
        <v>110.51</v>
      </c>
      <c r="C245" t="s">
        <v>30</v>
      </c>
    </row>
    <row r="246" spans="1:3" x14ac:dyDescent="0.25">
      <c r="A246" s="1">
        <v>43462</v>
      </c>
      <c r="B246">
        <v>110.93</v>
      </c>
      <c r="C246" t="s">
        <v>30</v>
      </c>
    </row>
    <row r="247" spans="1:3" x14ac:dyDescent="0.25">
      <c r="A247" s="1">
        <v>43463</v>
      </c>
      <c r="B247">
        <v>110.46</v>
      </c>
      <c r="C247" t="s">
        <v>30</v>
      </c>
    </row>
    <row r="248" spans="1:3" x14ac:dyDescent="0.25">
      <c r="A248" s="1">
        <v>43464</v>
      </c>
      <c r="B248">
        <v>110.27</v>
      </c>
      <c r="C248" t="s">
        <v>30</v>
      </c>
    </row>
  </sheetData>
  <pageMargins left="0.7" right="0.7" top="0.75" bottom="0.75" header="0.3" footer="0.3"/>
  <pageSetup paperSize="9" orientation="portrait" r:id="rId2"/>
  <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0D34B-455F-4834-A4DD-45222ECC9B4E}">
  <dimension ref="B2:G115"/>
  <sheetViews>
    <sheetView topLeftCell="A73" workbookViewId="0">
      <selection activeCell="P94" sqref="P94"/>
    </sheetView>
  </sheetViews>
  <sheetFormatPr defaultRowHeight="15" x14ac:dyDescent="0.25"/>
  <sheetData>
    <row r="2" spans="2:7" ht="18.75" x14ac:dyDescent="0.3">
      <c r="G2" s="5" t="s">
        <v>7</v>
      </c>
    </row>
    <row r="4" spans="2:7" x14ac:dyDescent="0.25">
      <c r="B4" s="15" t="s">
        <v>5</v>
      </c>
    </row>
    <row r="6" spans="2:7" x14ac:dyDescent="0.25">
      <c r="B6" s="8" t="s">
        <v>6</v>
      </c>
      <c r="C6" s="8" t="s">
        <v>10</v>
      </c>
    </row>
    <row r="7" spans="2:7" x14ac:dyDescent="0.25">
      <c r="B7" s="9">
        <v>0</v>
      </c>
      <c r="C7" s="10">
        <v>8</v>
      </c>
    </row>
    <row r="8" spans="2:7" x14ac:dyDescent="0.25">
      <c r="B8" s="9">
        <v>1</v>
      </c>
      <c r="C8" s="10">
        <f>$C$7-0.4*B8</f>
        <v>7.6</v>
      </c>
    </row>
    <row r="9" spans="2:7" x14ac:dyDescent="0.25">
      <c r="B9" s="9">
        <v>2</v>
      </c>
      <c r="C9" s="10">
        <f t="shared" ref="C9:C16" si="0">$C$7-0.4*B9</f>
        <v>7.2</v>
      </c>
    </row>
    <row r="10" spans="2:7" x14ac:dyDescent="0.25">
      <c r="B10" s="9">
        <v>3</v>
      </c>
      <c r="C10" s="10">
        <f t="shared" si="0"/>
        <v>6.8</v>
      </c>
    </row>
    <row r="11" spans="2:7" x14ac:dyDescent="0.25">
      <c r="B11" s="9">
        <v>4</v>
      </c>
      <c r="C11" s="10">
        <f t="shared" si="0"/>
        <v>6.4</v>
      </c>
    </row>
    <row r="12" spans="2:7" x14ac:dyDescent="0.25">
      <c r="B12" s="9">
        <v>5</v>
      </c>
      <c r="C12" s="10">
        <f t="shared" si="0"/>
        <v>6</v>
      </c>
    </row>
    <row r="13" spans="2:7" x14ac:dyDescent="0.25">
      <c r="B13" s="9">
        <v>6</v>
      </c>
      <c r="C13" s="10">
        <f t="shared" si="0"/>
        <v>5.6</v>
      </c>
    </row>
    <row r="14" spans="2:7" x14ac:dyDescent="0.25">
      <c r="B14" s="9">
        <v>7</v>
      </c>
      <c r="C14" s="10">
        <f t="shared" si="0"/>
        <v>5.1999999999999993</v>
      </c>
    </row>
    <row r="15" spans="2:7" x14ac:dyDescent="0.25">
      <c r="B15" s="9">
        <v>8</v>
      </c>
      <c r="C15" s="10">
        <f t="shared" si="0"/>
        <v>4.8</v>
      </c>
    </row>
    <row r="16" spans="2:7" x14ac:dyDescent="0.25">
      <c r="B16" s="9">
        <v>9</v>
      </c>
      <c r="C16" s="10">
        <f t="shared" si="0"/>
        <v>4.4000000000000004</v>
      </c>
    </row>
    <row r="17" spans="2:3" x14ac:dyDescent="0.25">
      <c r="B17" s="11">
        <v>10</v>
      </c>
      <c r="C17" s="10">
        <f>$C$7-0.4*B17</f>
        <v>4</v>
      </c>
    </row>
    <row r="18" spans="2:3" x14ac:dyDescent="0.25">
      <c r="B18" s="11">
        <v>11</v>
      </c>
      <c r="C18" s="10">
        <f t="shared" ref="C18:C30" si="1">$C$7-0.4*B18</f>
        <v>3.5999999999999996</v>
      </c>
    </row>
    <row r="19" spans="2:3" x14ac:dyDescent="0.25">
      <c r="B19" s="11">
        <v>12</v>
      </c>
      <c r="C19" s="10">
        <f t="shared" si="1"/>
        <v>3.1999999999999993</v>
      </c>
    </row>
    <row r="20" spans="2:3" x14ac:dyDescent="0.25">
      <c r="B20" s="11">
        <v>13</v>
      </c>
      <c r="C20" s="10">
        <f t="shared" si="1"/>
        <v>2.8</v>
      </c>
    </row>
    <row r="21" spans="2:3" x14ac:dyDescent="0.25">
      <c r="B21" s="11">
        <v>14</v>
      </c>
      <c r="C21" s="10">
        <f t="shared" si="1"/>
        <v>2.3999999999999995</v>
      </c>
    </row>
    <row r="22" spans="2:3" x14ac:dyDescent="0.25">
      <c r="B22" s="11">
        <v>15</v>
      </c>
      <c r="C22" s="10">
        <f t="shared" si="1"/>
        <v>2</v>
      </c>
    </row>
    <row r="23" spans="2:3" x14ac:dyDescent="0.25">
      <c r="B23" s="11">
        <v>16</v>
      </c>
      <c r="C23" s="10">
        <f t="shared" si="1"/>
        <v>1.5999999999999996</v>
      </c>
    </row>
    <row r="24" spans="2:3" x14ac:dyDescent="0.25">
      <c r="B24" s="11">
        <v>17</v>
      </c>
      <c r="C24" s="10">
        <f t="shared" si="1"/>
        <v>1.1999999999999993</v>
      </c>
    </row>
    <row r="25" spans="2:3" x14ac:dyDescent="0.25">
      <c r="B25" s="11">
        <v>18</v>
      </c>
      <c r="C25" s="10">
        <f t="shared" si="1"/>
        <v>0.79999999999999982</v>
      </c>
    </row>
    <row r="26" spans="2:3" x14ac:dyDescent="0.25">
      <c r="B26" s="11">
        <v>19</v>
      </c>
      <c r="C26" s="10">
        <f t="shared" si="1"/>
        <v>0.39999999999999947</v>
      </c>
    </row>
    <row r="27" spans="2:3" x14ac:dyDescent="0.25">
      <c r="B27" s="11">
        <v>20</v>
      </c>
      <c r="C27" s="10">
        <f t="shared" si="1"/>
        <v>0</v>
      </c>
    </row>
    <row r="28" spans="2:3" x14ac:dyDescent="0.25">
      <c r="B28" s="11">
        <v>21</v>
      </c>
      <c r="C28" s="10">
        <f t="shared" si="1"/>
        <v>-0.40000000000000036</v>
      </c>
    </row>
    <row r="29" spans="2:3" x14ac:dyDescent="0.25">
      <c r="B29" s="11">
        <v>22</v>
      </c>
      <c r="C29" s="10">
        <f t="shared" si="1"/>
        <v>-0.80000000000000071</v>
      </c>
    </row>
    <row r="30" spans="2:3" x14ac:dyDescent="0.25">
      <c r="B30" s="11">
        <v>23</v>
      </c>
      <c r="C30" s="10">
        <f t="shared" si="1"/>
        <v>-1.2000000000000011</v>
      </c>
    </row>
    <row r="32" spans="2:3" x14ac:dyDescent="0.25">
      <c r="B32" s="15" t="s">
        <v>8</v>
      </c>
    </row>
    <row r="34" spans="2:3" x14ac:dyDescent="0.25">
      <c r="B34" t="s">
        <v>6</v>
      </c>
      <c r="C34" t="s">
        <v>11</v>
      </c>
    </row>
    <row r="35" spans="2:3" x14ac:dyDescent="0.25">
      <c r="B35">
        <v>0</v>
      </c>
      <c r="C35">
        <v>8</v>
      </c>
    </row>
    <row r="36" spans="2:3" x14ac:dyDescent="0.25">
      <c r="B36">
        <v>1</v>
      </c>
      <c r="C36">
        <v>9</v>
      </c>
    </row>
    <row r="37" spans="2:3" x14ac:dyDescent="0.25">
      <c r="B37">
        <v>2</v>
      </c>
      <c r="C37">
        <v>15</v>
      </c>
    </row>
    <row r="38" spans="2:3" x14ac:dyDescent="0.25">
      <c r="B38">
        <v>3</v>
      </c>
      <c r="C38">
        <v>9</v>
      </c>
    </row>
    <row r="39" spans="2:3" x14ac:dyDescent="0.25">
      <c r="B39">
        <v>4</v>
      </c>
      <c r="C39">
        <v>3</v>
      </c>
    </row>
    <row r="40" spans="2:3" x14ac:dyDescent="0.25">
      <c r="B40">
        <v>5</v>
      </c>
      <c r="C40">
        <v>8</v>
      </c>
    </row>
    <row r="41" spans="2:3" x14ac:dyDescent="0.25">
      <c r="B41">
        <v>6</v>
      </c>
      <c r="C41">
        <v>9</v>
      </c>
    </row>
    <row r="42" spans="2:3" x14ac:dyDescent="0.25">
      <c r="B42">
        <v>7</v>
      </c>
      <c r="C42">
        <v>15</v>
      </c>
    </row>
    <row r="43" spans="2:3" x14ac:dyDescent="0.25">
      <c r="B43">
        <v>8</v>
      </c>
      <c r="C43">
        <v>9</v>
      </c>
    </row>
    <row r="44" spans="2:3" x14ac:dyDescent="0.25">
      <c r="B44">
        <v>9</v>
      </c>
      <c r="C44">
        <v>3</v>
      </c>
    </row>
    <row r="45" spans="2:3" x14ac:dyDescent="0.25">
      <c r="B45">
        <v>10</v>
      </c>
      <c r="C45">
        <v>8</v>
      </c>
    </row>
    <row r="46" spans="2:3" x14ac:dyDescent="0.25">
      <c r="B46">
        <v>11</v>
      </c>
      <c r="C46">
        <v>9</v>
      </c>
    </row>
    <row r="47" spans="2:3" x14ac:dyDescent="0.25">
      <c r="B47">
        <v>12</v>
      </c>
      <c r="C47">
        <v>15</v>
      </c>
    </row>
    <row r="48" spans="2:3" x14ac:dyDescent="0.25">
      <c r="B48">
        <v>13</v>
      </c>
      <c r="C48">
        <v>9</v>
      </c>
    </row>
    <row r="49" spans="2:3" x14ac:dyDescent="0.25">
      <c r="B49">
        <v>14</v>
      </c>
      <c r="C49">
        <v>3</v>
      </c>
    </row>
    <row r="50" spans="2:3" x14ac:dyDescent="0.25">
      <c r="B50">
        <v>15</v>
      </c>
      <c r="C50">
        <v>8</v>
      </c>
    </row>
    <row r="51" spans="2:3" x14ac:dyDescent="0.25">
      <c r="B51">
        <v>16</v>
      </c>
      <c r="C51">
        <v>9</v>
      </c>
    </row>
    <row r="52" spans="2:3" x14ac:dyDescent="0.25">
      <c r="B52">
        <v>17</v>
      </c>
      <c r="C52">
        <v>15</v>
      </c>
    </row>
    <row r="53" spans="2:3" x14ac:dyDescent="0.25">
      <c r="B53">
        <v>18</v>
      </c>
      <c r="C53">
        <v>9</v>
      </c>
    </row>
    <row r="54" spans="2:3" x14ac:dyDescent="0.25">
      <c r="B54">
        <v>19</v>
      </c>
      <c r="C54">
        <v>3</v>
      </c>
    </row>
    <row r="55" spans="2:3" x14ac:dyDescent="0.25">
      <c r="B55">
        <v>20</v>
      </c>
      <c r="C55">
        <v>8</v>
      </c>
    </row>
    <row r="56" spans="2:3" x14ac:dyDescent="0.25">
      <c r="B56">
        <v>21</v>
      </c>
      <c r="C56">
        <v>9</v>
      </c>
    </row>
    <row r="57" spans="2:3" x14ac:dyDescent="0.25">
      <c r="B57">
        <v>22</v>
      </c>
      <c r="C57">
        <v>15</v>
      </c>
    </row>
    <row r="58" spans="2:3" x14ac:dyDescent="0.25">
      <c r="B58">
        <v>23</v>
      </c>
      <c r="C58">
        <v>9</v>
      </c>
    </row>
    <row r="60" spans="2:3" x14ac:dyDescent="0.25">
      <c r="B60" s="15" t="s">
        <v>9</v>
      </c>
    </row>
    <row r="62" spans="2:3" x14ac:dyDescent="0.25">
      <c r="B62" s="8" t="s">
        <v>6</v>
      </c>
      <c r="C62" s="14" t="s">
        <v>12</v>
      </c>
    </row>
    <row r="63" spans="2:3" x14ac:dyDescent="0.25">
      <c r="B63" s="6">
        <v>0</v>
      </c>
      <c r="C63" s="6">
        <f t="shared" ref="C63:C86" ca="1" si="2">RAND()*RANDBETWEEN(-3,3)</f>
        <v>1.0365965719525152</v>
      </c>
    </row>
    <row r="64" spans="2:3" x14ac:dyDescent="0.25">
      <c r="B64" s="7">
        <v>1</v>
      </c>
      <c r="C64" s="7">
        <f t="shared" ca="1" si="2"/>
        <v>0.55786357647050266</v>
      </c>
    </row>
    <row r="65" spans="2:3" x14ac:dyDescent="0.25">
      <c r="B65" s="6">
        <v>2</v>
      </c>
      <c r="C65" s="6">
        <f t="shared" ca="1" si="2"/>
        <v>0</v>
      </c>
    </row>
    <row r="66" spans="2:3" x14ac:dyDescent="0.25">
      <c r="B66" s="7">
        <v>3</v>
      </c>
      <c r="C66" s="7">
        <f t="shared" ca="1" si="2"/>
        <v>0</v>
      </c>
    </row>
    <row r="67" spans="2:3" x14ac:dyDescent="0.25">
      <c r="B67" s="6">
        <v>4</v>
      </c>
      <c r="C67" s="6">
        <f t="shared" ca="1" si="2"/>
        <v>-0.49558371609632701</v>
      </c>
    </row>
    <row r="68" spans="2:3" x14ac:dyDescent="0.25">
      <c r="B68" s="7">
        <v>5</v>
      </c>
      <c r="C68" s="7">
        <f t="shared" ca="1" si="2"/>
        <v>0.45018218132834087</v>
      </c>
    </row>
    <row r="69" spans="2:3" x14ac:dyDescent="0.25">
      <c r="B69" s="6">
        <v>6</v>
      </c>
      <c r="C69" s="6">
        <f t="shared" ca="1" si="2"/>
        <v>-0.86986826992043276</v>
      </c>
    </row>
    <row r="70" spans="2:3" x14ac:dyDescent="0.25">
      <c r="B70" s="7">
        <v>7</v>
      </c>
      <c r="C70" s="7">
        <f t="shared" ca="1" si="2"/>
        <v>0.62804209462985816</v>
      </c>
    </row>
    <row r="71" spans="2:3" x14ac:dyDescent="0.25">
      <c r="B71" s="6">
        <v>8</v>
      </c>
      <c r="C71" s="6">
        <f t="shared" ca="1" si="2"/>
        <v>-2.253550604705199</v>
      </c>
    </row>
    <row r="72" spans="2:3" x14ac:dyDescent="0.25">
      <c r="B72" s="7">
        <v>9</v>
      </c>
      <c r="C72" s="7">
        <f t="shared" ca="1" si="2"/>
        <v>1.3420844707887238</v>
      </c>
    </row>
    <row r="73" spans="2:3" x14ac:dyDescent="0.25">
      <c r="B73" s="6">
        <v>10</v>
      </c>
      <c r="C73" s="6">
        <f t="shared" ca="1" si="2"/>
        <v>1.5331090800875784</v>
      </c>
    </row>
    <row r="74" spans="2:3" x14ac:dyDescent="0.25">
      <c r="B74" s="7">
        <v>11</v>
      </c>
      <c r="C74" s="12">
        <f t="shared" ca="1" si="2"/>
        <v>-0.59507259182682981</v>
      </c>
    </row>
    <row r="75" spans="2:3" x14ac:dyDescent="0.25">
      <c r="B75" s="6">
        <v>12</v>
      </c>
      <c r="C75" s="13">
        <f t="shared" ca="1" si="2"/>
        <v>-9.3718865623186431E-2</v>
      </c>
    </row>
    <row r="76" spans="2:3" x14ac:dyDescent="0.25">
      <c r="B76" s="7">
        <v>13</v>
      </c>
      <c r="C76" s="12">
        <f t="shared" ca="1" si="2"/>
        <v>1.2848636421262998</v>
      </c>
    </row>
    <row r="77" spans="2:3" x14ac:dyDescent="0.25">
      <c r="B77" s="6">
        <v>14</v>
      </c>
      <c r="C77" s="13">
        <f t="shared" ca="1" si="2"/>
        <v>1.1049999695033961</v>
      </c>
    </row>
    <row r="78" spans="2:3" x14ac:dyDescent="0.25">
      <c r="B78" s="7">
        <v>15</v>
      </c>
      <c r="C78" s="12">
        <f t="shared" ca="1" si="2"/>
        <v>-2.9883237638928684</v>
      </c>
    </row>
    <row r="79" spans="2:3" x14ac:dyDescent="0.25">
      <c r="B79" s="6">
        <v>16</v>
      </c>
      <c r="C79" s="13">
        <f t="shared" ca="1" si="2"/>
        <v>0.31998627196472029</v>
      </c>
    </row>
    <row r="80" spans="2:3" x14ac:dyDescent="0.25">
      <c r="B80" s="7">
        <v>17</v>
      </c>
      <c r="C80" s="12">
        <f t="shared" ca="1" si="2"/>
        <v>-2.6642952863584961</v>
      </c>
    </row>
    <row r="81" spans="2:3" x14ac:dyDescent="0.25">
      <c r="B81" s="6">
        <v>18</v>
      </c>
      <c r="C81" s="13">
        <f t="shared" ca="1" si="2"/>
        <v>0</v>
      </c>
    </row>
    <row r="82" spans="2:3" x14ac:dyDescent="0.25">
      <c r="B82" s="7">
        <v>19</v>
      </c>
      <c r="C82" s="12">
        <f t="shared" ca="1" si="2"/>
        <v>-1.6381497006807106</v>
      </c>
    </row>
    <row r="83" spans="2:3" x14ac:dyDescent="0.25">
      <c r="B83" s="6">
        <v>20</v>
      </c>
      <c r="C83" s="16">
        <f t="shared" ca="1" si="2"/>
        <v>-0.3007039802478223</v>
      </c>
    </row>
    <row r="84" spans="2:3" x14ac:dyDescent="0.25">
      <c r="B84" s="7">
        <v>21</v>
      </c>
      <c r="C84" s="16">
        <f t="shared" ca="1" si="2"/>
        <v>0.68011069929211376</v>
      </c>
    </row>
    <row r="85" spans="2:3" x14ac:dyDescent="0.25">
      <c r="B85" s="6">
        <v>22</v>
      </c>
      <c r="C85" s="16">
        <f t="shared" ca="1" si="2"/>
        <v>0.94282212235849217</v>
      </c>
    </row>
    <row r="86" spans="2:3" x14ac:dyDescent="0.25">
      <c r="B86" s="7">
        <v>23</v>
      </c>
      <c r="C86" s="16">
        <f t="shared" ca="1" si="2"/>
        <v>0</v>
      </c>
    </row>
    <row r="89" spans="2:3" x14ac:dyDescent="0.25">
      <c r="B89" s="15" t="s">
        <v>13</v>
      </c>
    </row>
    <row r="91" spans="2:3" x14ac:dyDescent="0.25">
      <c r="B91" t="s">
        <v>6</v>
      </c>
      <c r="C91" t="s">
        <v>14</v>
      </c>
    </row>
    <row r="92" spans="2:3" x14ac:dyDescent="0.25">
      <c r="B92">
        <v>0</v>
      </c>
      <c r="C92">
        <f ca="1">C7+C35+C63</f>
        <v>17.036596571952515</v>
      </c>
    </row>
    <row r="93" spans="2:3" x14ac:dyDescent="0.25">
      <c r="B93">
        <v>1</v>
      </c>
      <c r="C93">
        <f t="shared" ref="C93:C115" ca="1" si="3">C8+C36+C64</f>
        <v>17.157863576470504</v>
      </c>
    </row>
    <row r="94" spans="2:3" x14ac:dyDescent="0.25">
      <c r="B94">
        <v>2</v>
      </c>
      <c r="C94">
        <f t="shared" ca="1" si="3"/>
        <v>22.2</v>
      </c>
    </row>
    <row r="95" spans="2:3" x14ac:dyDescent="0.25">
      <c r="B95">
        <v>3</v>
      </c>
      <c r="C95">
        <f t="shared" ca="1" si="3"/>
        <v>15.8</v>
      </c>
    </row>
    <row r="96" spans="2:3" x14ac:dyDescent="0.25">
      <c r="B96">
        <v>4</v>
      </c>
      <c r="C96">
        <f t="shared" ca="1" si="3"/>
        <v>8.9044162839036733</v>
      </c>
    </row>
    <row r="97" spans="2:3" x14ac:dyDescent="0.25">
      <c r="B97">
        <v>5</v>
      </c>
      <c r="C97">
        <f t="shared" ca="1" si="3"/>
        <v>14.450182181328341</v>
      </c>
    </row>
    <row r="98" spans="2:3" x14ac:dyDescent="0.25">
      <c r="B98">
        <v>6</v>
      </c>
      <c r="C98">
        <f t="shared" ca="1" si="3"/>
        <v>13.730131730079567</v>
      </c>
    </row>
    <row r="99" spans="2:3" x14ac:dyDescent="0.25">
      <c r="B99">
        <v>7</v>
      </c>
      <c r="C99">
        <f t="shared" ca="1" si="3"/>
        <v>20.828042094629858</v>
      </c>
    </row>
    <row r="100" spans="2:3" x14ac:dyDescent="0.25">
      <c r="B100">
        <v>8</v>
      </c>
      <c r="C100">
        <f t="shared" ca="1" si="3"/>
        <v>11.546449395294802</v>
      </c>
    </row>
    <row r="101" spans="2:3" x14ac:dyDescent="0.25">
      <c r="B101">
        <v>9</v>
      </c>
      <c r="C101">
        <f t="shared" ca="1" si="3"/>
        <v>8.7420844707887237</v>
      </c>
    </row>
    <row r="102" spans="2:3" x14ac:dyDescent="0.25">
      <c r="B102">
        <v>10</v>
      </c>
      <c r="C102">
        <f t="shared" ca="1" si="3"/>
        <v>13.533109080087579</v>
      </c>
    </row>
    <row r="103" spans="2:3" x14ac:dyDescent="0.25">
      <c r="B103">
        <v>11</v>
      </c>
      <c r="C103">
        <f t="shared" ca="1" si="3"/>
        <v>12.00492740817317</v>
      </c>
    </row>
    <row r="104" spans="2:3" x14ac:dyDescent="0.25">
      <c r="B104">
        <v>12</v>
      </c>
      <c r="C104">
        <f t="shared" ca="1" si="3"/>
        <v>18.106281134376815</v>
      </c>
    </row>
    <row r="105" spans="2:3" x14ac:dyDescent="0.25">
      <c r="B105">
        <v>13</v>
      </c>
      <c r="C105">
        <f t="shared" ca="1" si="3"/>
        <v>13.084863642126301</v>
      </c>
    </row>
    <row r="106" spans="2:3" x14ac:dyDescent="0.25">
      <c r="B106">
        <v>14</v>
      </c>
      <c r="C106">
        <f t="shared" ca="1" si="3"/>
        <v>6.5049999695033955</v>
      </c>
    </row>
    <row r="107" spans="2:3" x14ac:dyDescent="0.25">
      <c r="B107">
        <v>15</v>
      </c>
      <c r="C107">
        <f t="shared" ca="1" si="3"/>
        <v>7.0116762361071316</v>
      </c>
    </row>
    <row r="108" spans="2:3" x14ac:dyDescent="0.25">
      <c r="B108">
        <v>16</v>
      </c>
      <c r="C108">
        <f t="shared" ca="1" si="3"/>
        <v>10.919986271964721</v>
      </c>
    </row>
    <row r="109" spans="2:3" x14ac:dyDescent="0.25">
      <c r="B109">
        <v>17</v>
      </c>
      <c r="C109">
        <f t="shared" ca="1" si="3"/>
        <v>13.535704713641504</v>
      </c>
    </row>
    <row r="110" spans="2:3" x14ac:dyDescent="0.25">
      <c r="B110">
        <v>18</v>
      </c>
      <c r="C110">
        <f t="shared" ca="1" si="3"/>
        <v>9.8000000000000007</v>
      </c>
    </row>
    <row r="111" spans="2:3" x14ac:dyDescent="0.25">
      <c r="B111">
        <v>19</v>
      </c>
      <c r="C111">
        <f t="shared" ca="1" si="3"/>
        <v>1.7618502993192888</v>
      </c>
    </row>
    <row r="112" spans="2:3" x14ac:dyDescent="0.25">
      <c r="B112">
        <v>20</v>
      </c>
      <c r="C112">
        <f t="shared" ca="1" si="3"/>
        <v>7.699296019752178</v>
      </c>
    </row>
    <row r="113" spans="2:3" x14ac:dyDescent="0.25">
      <c r="B113">
        <v>21</v>
      </c>
      <c r="C113">
        <f t="shared" ca="1" si="3"/>
        <v>9.2801106992921127</v>
      </c>
    </row>
    <row r="114" spans="2:3" x14ac:dyDescent="0.25">
      <c r="B114">
        <v>22</v>
      </c>
      <c r="C114">
        <f t="shared" ca="1" si="3"/>
        <v>15.142822122358492</v>
      </c>
    </row>
    <row r="115" spans="2:3" x14ac:dyDescent="0.25">
      <c r="B115">
        <v>23</v>
      </c>
      <c r="C115">
        <f t="shared" ca="1" si="3"/>
        <v>7.7999999999999989</v>
      </c>
    </row>
  </sheetData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9F8E-B369-417E-BEA1-5DD202706725}">
  <dimension ref="A1:B2"/>
  <sheetViews>
    <sheetView workbookViewId="0">
      <selection activeCell="A3" sqref="A3"/>
    </sheetView>
  </sheetViews>
  <sheetFormatPr defaultRowHeight="15" x14ac:dyDescent="0.25"/>
  <cols>
    <col min="1" max="1" width="12.7109375" bestFit="1" customWidth="1"/>
    <col min="2" max="2" width="18.28515625" customWidth="1"/>
  </cols>
  <sheetData>
    <row r="1" spans="1:2" x14ac:dyDescent="0.25">
      <c r="A1" t="s">
        <v>63</v>
      </c>
      <c r="B1" t="s">
        <v>64</v>
      </c>
    </row>
    <row r="2" spans="1:2" x14ac:dyDescent="0.25">
      <c r="A2" t="s">
        <v>65</v>
      </c>
      <c r="B2" t="str" cm="1">
        <f t="array" aca="1" ref="B2" ca="1">LEFT(CELL("имяфайла"), FIND("[",CELL("имяфайла"))-1) &amp; "Data\"</f>
        <v>D:\FinU\2021-2022\Д_Эконометрика\Замена 2021-09-08 (Лекция)\Data\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26BFCF-D6B6-46B6-AEE7-53F5F8C62C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G_Chow</vt:lpstr>
      <vt:lpstr>CurrExchange</vt:lpstr>
      <vt:lpstr>Компоненты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Смирнов</dc:creator>
  <cp:lastModifiedBy>Михаил Смирнов</cp:lastModifiedBy>
  <dcterms:created xsi:type="dcterms:W3CDTF">2020-10-11T08:06:02Z</dcterms:created>
  <dcterms:modified xsi:type="dcterms:W3CDTF">2021-09-08T00:13:34Z</dcterms:modified>
</cp:coreProperties>
</file>